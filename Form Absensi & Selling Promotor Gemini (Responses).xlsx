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ll Circle" sheetId="1" r:id="rId5"/>
    <sheet state="visible" name="Form Responses 1" sheetId="2" r:id="rId6"/>
    <sheet state="visible" name="Dashboard" sheetId="3" r:id="rId7"/>
    <sheet state="visible" name="Pivot Table 2" sheetId="4" r:id="rId8"/>
    <sheet state="visible" name="!All Circle " sheetId="5" r:id="rId9"/>
    <sheet state="visible" name="Promotor Rank" sheetId="6" r:id="rId10"/>
    <sheet state="visible" name="Promotor-Information" sheetId="7" r:id="rId11"/>
    <sheet state="hidden" name="Detail1-Denpasar-Ryan shobwatur" sheetId="8" r:id="rId12"/>
    <sheet state="visible" name="Summary CJ" sheetId="9" r:id="rId13"/>
    <sheet state="visible" name="Summary EJ" sheetId="10" r:id="rId14"/>
    <sheet state="visible" name="Summary BN" sheetId="11" r:id="rId15"/>
    <sheet state="hidden" name="Form Response 2 Copy" sheetId="12" r:id="rId16"/>
  </sheets>
  <definedNames>
    <definedName hidden="1" localSheetId="3" name="_xlnm._FilterDatabase">'Pivot Table 2'!$A$1:$K$60</definedName>
    <definedName hidden="1" localSheetId="11" name="_xlnm._FilterDatabase">'Form Response 2 Copy'!$A$1:$P$54</definedName>
  </definedNames>
  <calcPr/>
  <pivotCaches>
    <pivotCache cacheId="0" r:id="rId17"/>
    <pivotCache cacheId="1" r:id="rId18"/>
    <pivotCache cacheId="2" r:id="rId19"/>
  </pivotCaches>
</workbook>
</file>

<file path=xl/sharedStrings.xml><?xml version="1.0" encoding="utf-8"?>
<sst xmlns="http://schemas.openxmlformats.org/spreadsheetml/2006/main" count="4654" uniqueCount="1905">
  <si>
    <t xml:space="preserve">REPORT ACCUMULATION ACHIEVEMENT PROMOTOR </t>
  </si>
  <si>
    <t>Region</t>
  </si>
  <si>
    <t>RGE</t>
  </si>
  <si>
    <t>Area Penempatan</t>
  </si>
  <si>
    <t>Jumlah Promotor</t>
  </si>
  <si>
    <t>Edukasi Total</t>
  </si>
  <si>
    <t>Rebuy Total</t>
  </si>
  <si>
    <t>Akuisisi Total</t>
  </si>
  <si>
    <t>Central Java</t>
  </si>
  <si>
    <t>Yogie</t>
  </si>
  <si>
    <t>Yogyakarta</t>
  </si>
  <si>
    <t>SUM of Jumlah edukasi - isi dengan angka. Cth: 2
(Target 30 hari: 600 edukasi Gemini)</t>
  </si>
  <si>
    <t>SUM of Jumlah penjualan Paket Isi Ulang - isi dengan angka. Cth: 2 
(Target 30 hari: 200 Paket Isi Ulang terjual)</t>
  </si>
  <si>
    <t>SUM of Jumlah penjualan Kartu Perdana - isi dengan angka. Cth: 2 
(Target 30 hari: 100 Kartu Perdana terjual)</t>
  </si>
  <si>
    <t>Fitri</t>
  </si>
  <si>
    <t>Solo</t>
  </si>
  <si>
    <t>Bali Nusra</t>
  </si>
  <si>
    <t>Wahyudi</t>
  </si>
  <si>
    <t>Semarang</t>
  </si>
  <si>
    <t>Central Java (Jateng)</t>
  </si>
  <si>
    <t>Lingga</t>
  </si>
  <si>
    <t>Sleman</t>
  </si>
  <si>
    <t>East Java (Jatim)</t>
  </si>
  <si>
    <t>TOTAL</t>
  </si>
  <si>
    <t>East Java</t>
  </si>
  <si>
    <t>Melody</t>
  </si>
  <si>
    <t>Surabaya</t>
  </si>
  <si>
    <t>Grand Total</t>
  </si>
  <si>
    <t>Fendi</t>
  </si>
  <si>
    <t>Malang</t>
  </si>
  <si>
    <t>Rizal</t>
  </si>
  <si>
    <t>Jember</t>
  </si>
  <si>
    <t>Maria</t>
  </si>
  <si>
    <t>Denpasar</t>
  </si>
  <si>
    <t>Dewa</t>
  </si>
  <si>
    <t>Gianyar</t>
  </si>
  <si>
    <t>Diswan</t>
  </si>
  <si>
    <t>Badung</t>
  </si>
  <si>
    <t>Afan</t>
  </si>
  <si>
    <t>Singaraja</t>
  </si>
  <si>
    <t>Total Circle Java</t>
  </si>
  <si>
    <t>REPORT ACHIEVEMENT PROMOTOR - 30 JUNI 2026</t>
  </si>
  <si>
    <t>REPORT ACHIEVEMENT PROMOTOR - 07 JULI 2026</t>
  </si>
  <si>
    <t>Timestamp</t>
  </si>
  <si>
    <t>Hari &amp; Tanggal</t>
  </si>
  <si>
    <t>Nama Promotor</t>
  </si>
  <si>
    <t>Nama Outlet</t>
  </si>
  <si>
    <r>
      <t xml:space="preserve">Upload Foto </t>
    </r>
    <r>
      <rPr>
        <rFont val="Arial"/>
        <b/>
        <color theme="1"/>
      </rPr>
      <t xml:space="preserve">Kehadiran </t>
    </r>
    <r>
      <rPr>
        <rFont val="Arial"/>
        <color theme="1"/>
      </rPr>
      <t>dengan Time Stamp (untuk Bukti Kehadiran)</t>
    </r>
  </si>
  <si>
    <t>Jumlah edukasi - isi dengan angka. Cth: 2
(Target 30 hari: 600 edukasi Gemini)</t>
  </si>
  <si>
    <t>Bukti Foto Edukasi</t>
  </si>
  <si>
    <t>Jumlah penjualan Kartu Perdana - isi dengan angka. Cth: 2 
(Target 30 hari: 100 Kartu Perdana terjual)</t>
  </si>
  <si>
    <t>Jumlah penjualan Paket Isi Ulang - isi dengan angka. Cth: 2 
(Target 30 hari: 200 Paket Isi Ulang terjual)</t>
  </si>
  <si>
    <t>Bukti Foto Penjualan</t>
  </si>
  <si>
    <t>List No. HP yang terjual</t>
  </si>
  <si>
    <t>List No. HP yang melakukan isi ulang</t>
  </si>
  <si>
    <r>
      <t xml:space="preserve">Upload Foto </t>
    </r>
    <r>
      <rPr>
        <rFont val="Arial"/>
        <b/>
        <color theme="1"/>
      </rPr>
      <t xml:space="preserve">Kepulangan </t>
    </r>
    <r>
      <rPr>
        <rFont val="Arial"/>
        <color theme="1"/>
      </rPr>
      <t>dengan Time Stamp (untuk Bukti Kepulangan)</t>
    </r>
  </si>
  <si>
    <t>Jumlah aktivasi Gemini dari orang yang diedukasi</t>
  </si>
  <si>
    <t>Hari &amp; Tanggal 2</t>
  </si>
  <si>
    <t>Brand</t>
  </si>
  <si>
    <t>Column 1</t>
  </si>
  <si>
    <t>Column 20</t>
  </si>
  <si>
    <t xml:space="preserve"> </t>
  </si>
  <si>
    <t>Adit</t>
  </si>
  <si>
    <t>Axoo Cell</t>
  </si>
  <si>
    <t>https://drive.google.com/open?id=1ccOL6O0qsZ-h7GEBmipzs5VF9_fU9UdS</t>
  </si>
  <si>
    <t>https://drive.google.com/open?id=1z4SVoYWE52ZAQ2h8WINT3YU4c1HJwC1W</t>
  </si>
  <si>
    <t>089684210008</t>
  </si>
  <si>
    <t>085606633231</t>
  </si>
  <si>
    <t>https://drive.google.com/open?id=1eNqXWrNDv_TnHPJ4gi2yqCPCrKy3kLYH</t>
  </si>
  <si>
    <t>Axoo</t>
  </si>
  <si>
    <t>https://drive.google.com/open?id=1pP1PFCL5MvYSTvJesoC3RTaMulxyzc1Y</t>
  </si>
  <si>
    <t>https://drive.google.com/open?id=1Zf154JzyIsnKcCjoaiMDj6smMORMmE10</t>
  </si>
  <si>
    <t>085801200180</t>
  </si>
  <si>
    <t>085859545417</t>
  </si>
  <si>
    <t>https://drive.google.com/open?id=1d6-B-E9J0gX_4S5aKXSfyt9Wo1iPv_I8</t>
  </si>
  <si>
    <t>https://drive.google.com/open?id=1kmvtKpGqoZS-l2lGYqb5Kt_uG3Vhv2WQ</t>
  </si>
  <si>
    <t>https://drive.google.com/open?id=1_tD0mxEcrlbuLrIMTVYoJc_zWA4SI3Dp</t>
  </si>
  <si>
    <t>1. 085733621125 2. 085749549485 3. 085645452029 4. 085773769634</t>
  </si>
  <si>
    <t>https://drive.google.com/open?id=1XMWLLwp8sYDmiZfqc4ml80Iy5XFmhoHG</t>
  </si>
  <si>
    <t>https://drive.google.com/open?id=10Giv1XZ8ISnD-FUHIKK2O2xsauGpe6XE</t>
  </si>
  <si>
    <t>https://drive.google.com/open?id=1ZFWTkFy0SqW6AuzhSBtMs15gmi93Vn1w</t>
  </si>
  <si>
    <t>1. 089504744464 2. 085536930726 3. 0895399488277</t>
  </si>
  <si>
    <t>https://drive.google.com/open?id=1tblnvsy7V_eeK8REceVd2XhOFXGuQDWd</t>
  </si>
  <si>
    <t>https://drive.google.com/open?id=1RlOpJEm8ofct5timSYMFlt1rNSX0aXBA</t>
  </si>
  <si>
    <t>https://drive.google.com/open?id=1xuZtx1naQDp3wkPPgrUNQgafjg-sKTs2</t>
  </si>
  <si>
    <t>085732317400</t>
  </si>
  <si>
    <t>1. 085732317400 2. 085806042745 3. 08574177532 4. 089507312455</t>
  </si>
  <si>
    <t>https://drive.google.com/open?id=1bdKbl-eyqe8HFVvOXN4AN43wYnocTmod</t>
  </si>
  <si>
    <t>https://drive.google.com/open?id=1d0LsUXNfizhT_DdhdXZ7lgxDX6QWEaAQ</t>
  </si>
  <si>
    <t>https://drive.google.com/open?id=1V0RLsshcbPnVsZ2_tmWop5hsAkVAxtAM</t>
  </si>
  <si>
    <t>085600627931</t>
  </si>
  <si>
    <t>https://drive.google.com/open?id=1Y9HypKMoyK4jtoK018cY-DiJrZcOaKUr</t>
  </si>
  <si>
    <t>https://drive.google.com/open?id=10HznNW7UBxz1q8l_1rTim23LX_on83jv</t>
  </si>
  <si>
    <t>https://drive.google.com/open?id=1SPzPQEbJgSuA4v9mG0P2UfZ91MrpFD6g</t>
  </si>
  <si>
    <t>0895634210633</t>
  </si>
  <si>
    <t>085755857899</t>
  </si>
  <si>
    <t>https://drive.google.com/open?id=1LhJiPiK4SCVm78PwMiSf8erVINOog32v</t>
  </si>
  <si>
    <t xml:space="preserve">aulia farah </t>
  </si>
  <si>
    <t>joker cell</t>
  </si>
  <si>
    <t>https://drive.google.com/open?id=1YFeZ9gk3zAR2gUqvBJfb37HYXITqOVpF</t>
  </si>
  <si>
    <t>20 edukasi gemini di kampus</t>
  </si>
  <si>
    <t>https://drive.google.com/open?id=1BBcgB4uGJ7kXoidEP7LYlTeD5F-deJGd</t>
  </si>
  <si>
    <t xml:space="preserve">08564515 4944 085791943323 0895 42 37 13578 0895639052073   085806555510  </t>
  </si>
  <si>
    <t>https://drive.google.com/open?id=1KYCYjs9raBFhFi5MYJdOjEeborPg04f7</t>
  </si>
  <si>
    <t>Joker Cell</t>
  </si>
  <si>
    <t>https://drive.google.com/open?id=1b7aGPzXPgZFexnXlOQEijf5iNBo2urSv</t>
  </si>
  <si>
    <t>https://drive.google.com/open?id=1suvHRBrZqhg93B3_bWUcaIbTqilKf_Hl</t>
  </si>
  <si>
    <t xml:space="preserve">0895411958998  0895402526994  085646539945  085741116861  0856 04427779  08563423235  087856955350 085649272163  085738677184  085730127697 085730127697 </t>
  </si>
  <si>
    <t>https://drive.google.com/open?id=1dmCE41-tobTZhqXyLfPyzsAWQSKbglwY</t>
  </si>
  <si>
    <t>https://drive.google.com/open?id=1O9TF1e9NajKkRGH5gYb7ki7V7mfzyvYe</t>
  </si>
  <si>
    <t>https://drive.google.com/open?id=1l2d3_N0ZRfFObyrZ5028p-Ld3bXZq2Gv</t>
  </si>
  <si>
    <t>085649720018 085707964322  087842221767 085743474651 087812271027 085852903096 08989894602 085854370752  085701754071 085707964322</t>
  </si>
  <si>
    <t>https://drive.google.com/open?id=1YnyyX0uk2TsPolRALJLkkfzJbRQgNRAe</t>
  </si>
  <si>
    <t>Bagus Nurul Khamid</t>
  </si>
  <si>
    <t>King Tronik 2</t>
  </si>
  <si>
    <t>https://drive.google.com/open?id=1ptFOwcEdsuaE1u-5NPTnrCs41k4xrhBB</t>
  </si>
  <si>
    <t>https://drive.google.com/open?id=1s5A23fhoQXag_Np41E0Sn_AmwtiAOI98</t>
  </si>
  <si>
    <t>0895622995017</t>
  </si>
  <si>
    <t>089602333258 089602338594 085725110191</t>
  </si>
  <si>
    <t>https://drive.google.com/open?id=15VEFiXchewIvCDCmkfAjq1DdkdZhfUU2</t>
  </si>
  <si>
    <t>Area semarang selatan</t>
  </si>
  <si>
    <t>https://drive.google.com/open?id=1qOeb0Ri8k3_YJkeo0VbCslkOevyzc_GL</t>
  </si>
  <si>
    <t>* 8</t>
  </si>
  <si>
    <t>* 2</t>
  </si>
  <si>
    <t>*0</t>
  </si>
  <si>
    <t>https://drive.google.com/open?id=1tAf5dKeVd7SNvoX4mqsub7sHd0AbC4OJ</t>
  </si>
  <si>
    <t>1.089673499234   2. 0895634252328</t>
  </si>
  <si>
    <t>https://drive.google.com/open?id=1gjS8pZYc6-gNFQSk-GByhtMt0cr6d022</t>
  </si>
  <si>
    <t>https://drive.google.com/open?id=1VMd7uuzPN2QaEQcLnYsdCKKawxrlGuYa</t>
  </si>
  <si>
    <t>*8</t>
  </si>
  <si>
    <t>https://drive.google.com/open?id=1DI-LFeWXAZKtDtjlLq7xntF8AWljNCZz</t>
  </si>
  <si>
    <t>https://drive.google.com/open?id=1UJQ9sVOvviMHO9KVx53aMmBz0ahMwMle</t>
  </si>
  <si>
    <t>https://drive.google.com/open?id=1h8tcQg_3K9qS-RNaJWew-YBRL4z8mKY3</t>
  </si>
  <si>
    <t>089673499060</t>
  </si>
  <si>
    <t>https://drive.google.com/open?id=17u7JCJMyBZ0fpgtUdJknpl2f3PZk3IAw</t>
  </si>
  <si>
    <t>https://drive.google.com/open?id=1ozmAyV4Jq4laNpo_e5TTCBw_g6ALDJTI</t>
  </si>
  <si>
    <t>https://drive.google.com/open?id=1efdeYMSA29UzuSRhu_WDozMWVL_7kW_f</t>
  </si>
  <si>
    <t>089654354838</t>
  </si>
  <si>
    <t>https://drive.google.com/open?id=1n8jJ10CZ20V-szo8IQw3N2S2xgsg342H</t>
  </si>
  <si>
    <t>Destya Kamilia</t>
  </si>
  <si>
    <t>Prasanjaya</t>
  </si>
  <si>
    <t>https://drive.google.com/open?id=15XLaHVT6344HbUUaU_tpfvFghPuvsmUP</t>
  </si>
  <si>
    <t>https://drive.google.com/open?id=1T6I1QM9tE9mVo5ZhXdTO4BiCZtY-YsJt</t>
  </si>
  <si>
    <t>089696877803</t>
  </si>
  <si>
    <t>https://drive.google.com/open?id=1s4zAe9Z1BL3S6RMLZS15P7kxe3pFEALd</t>
  </si>
  <si>
    <t>https://drive.google.com/open?id=1DFBoH9NuybQZwxveJC_4MugC_F5gERtv</t>
  </si>
  <si>
    <t>https://drive.google.com/open?id=11jZMBMSewGPIFNL4X-bPXX6w2PzECMM3</t>
  </si>
  <si>
    <t>085738234995</t>
  </si>
  <si>
    <t>0895422419006, 085748341045, 0857855665693, 085733190124, 085878074185, 085731146817, 085693599846</t>
  </si>
  <si>
    <t>https://drive.google.com/open?id=1E8MnvmXq977i0hskQ10LmX9qvqIjgl9g</t>
  </si>
  <si>
    <t>https://drive.google.com/open?id=1GFyMwR3g2m-Z9cjc9mj8XguaIMtTD8Uq</t>
  </si>
  <si>
    <t>https://drive.google.com/open?id=1jVV_vHExYS0oHT9rMVJhh0bYTR34O5Gn</t>
  </si>
  <si>
    <t>085706883379, 085738234990</t>
  </si>
  <si>
    <t>0895403802132, 085732743451, 085710645629, 085706707880, 085784280162, 085732743451</t>
  </si>
  <si>
    <t>https://drive.google.com/open?id=1sI3bQyv2-wubbWmWWcHynwlW-gCfPoAT</t>
  </si>
  <si>
    <t>https://drive.google.com/open?id=1YS-bxN-l0wxy33THHQ1Njc1z44Vjamr5</t>
  </si>
  <si>
    <t>https://drive.google.com/open?id=1kcm1p-XIGSMisqa1TODR4hCOmBH3TSEX</t>
  </si>
  <si>
    <t>08976460818, 08983330546, 085732743457, 085875113418, 085649140765, 08970520811</t>
  </si>
  <si>
    <t>https://drive.google.com/open?id=1TlnlOStGRsQpeKHXLgZfJmbYSfS5-TpJ</t>
  </si>
  <si>
    <t>Prasanjaya Oulet</t>
  </si>
  <si>
    <t>https://drive.google.com/open?id=1ILj8WFkbiFAkzvXMcnai-1kNec63olJA</t>
  </si>
  <si>
    <t>https://drive.google.com/open?id=1ufEgi6FeIfsVv-4jWyyzIX2cnGX4VFM7</t>
  </si>
  <si>
    <t>085748341045</t>
  </si>
  <si>
    <t>https://drive.google.com/open?id=12EznUPtNDEhAE2A3FrQk9EcSUqEPIYRp</t>
  </si>
  <si>
    <t>https://drive.google.com/open?id=1MSxlbdyuZRtctdDNY0ZAlXE2b44KCllF</t>
  </si>
  <si>
    <t>https://drive.google.com/open?id=1I0qNpNtYsN4LHl17JoDXRj4LPEcyBbV5</t>
  </si>
  <si>
    <t>089672931460, 085732743451, 085743593774, 085732743451, 085852982780, 085692124364, 085647455172, 08970520811, 08976460818, 08976460818(2x)</t>
  </si>
  <si>
    <t>https://drive.google.com/open?id=1LM-1_OKv3apzvpJvknrAJfBsUEyfnayN</t>
  </si>
  <si>
    <t>https://drive.google.com/open?id=1_hToEA1MgSx59SjZzDEVoxck553nYlL5</t>
  </si>
  <si>
    <t>https://drive.google.com/open?id=1p4NOGffBxy5UlNV5Dz1j-XYyw8SRUKJs</t>
  </si>
  <si>
    <t>085706780196</t>
  </si>
  <si>
    <t>0896363880119, 089678203326</t>
  </si>
  <si>
    <t>https://drive.google.com/open?id=1y8lG_79Anz6UZXoTmNkHu8NFvJXjXjER</t>
  </si>
  <si>
    <t>Devi kumala novianti</t>
  </si>
  <si>
    <t>https://drive.google.com/open?id=1ufday6VpH6jJ70WIqK5up39BEXtzv0N8</t>
  </si>
  <si>
    <t>https://drive.google.com/open?id=1bo7oWrYt4tDw0ACDBFoV_VU1WncLS0HA</t>
  </si>
  <si>
    <t>https://drive.google.com/open?id=1ThoO1n--rtL3qr964FbUNA79XzaXbsaS</t>
  </si>
  <si>
    <t>Aristo</t>
  </si>
  <si>
    <t>https://drive.google.com/open?id=1lBkuIKFCxm_sAhGnmHmfWF-nru43w09m</t>
  </si>
  <si>
    <t>https://drive.google.com/open?id=1pSkM4NFeERqKPp_YxB1GmifJiStwJ31o</t>
  </si>
  <si>
    <t>0895622989306</t>
  </si>
  <si>
    <t>https://drive.google.com/open?id=1fPZd5danS3zON9d6v285XBBaOxDqsQ5k</t>
  </si>
  <si>
    <t>Aristo cell</t>
  </si>
  <si>
    <t>https://drive.google.com/open?id=1FjnT-WpWKcJzizec_ndC-TylHrf29yLZ</t>
  </si>
  <si>
    <t>https://drive.google.com/open?id=1VgVIkMVNLwcH2gmNl7Oncn0vSb6olPcy</t>
  </si>
  <si>
    <t>089671862745 , 0895622989339</t>
  </si>
  <si>
    <t>089609263939, 0895403151465, 08988105485, 0895428845053, 081460401468, 0857-4027-5549, 0895346194409, 0896-5360-2383</t>
  </si>
  <si>
    <t>https://drive.google.com/open?id=117F_2ckmByK4B8NjV6HuYRtz2yS45crb</t>
  </si>
  <si>
    <t>https://drive.google.com/open?id=1nwf9lwZ_QWifA_q7qhneOgB4c-AoKu07</t>
  </si>
  <si>
    <t>https://drive.google.com/open?id=1FtIXd8EnxID4EV15nzGIUKROk9MaIxQb</t>
  </si>
  <si>
    <t>0895622998057</t>
  </si>
  <si>
    <t>0895400754428 , 0895-0194-3010 , 089521401942, 08988150557, 0895622190587, 0895414352305, 085815018400, 089693817430</t>
  </si>
  <si>
    <t>https://drive.google.com/open?id=1VmReSCvbuSJPSnxLPO-gNW5cnBH6-NJ3</t>
  </si>
  <si>
    <t>Devi kumala Novianti</t>
  </si>
  <si>
    <t>https://drive.google.com/open?id=1ven4XjWfV0fnB_eQFalUE6qv49u-kp3-</t>
  </si>
  <si>
    <t>https://drive.google.com/open?id=1tekI-R36tjEMh4UZVlFt-s-6o2f1m-Dz</t>
  </si>
  <si>
    <t>089671862742, 0895622989305, 0895622989319</t>
  </si>
  <si>
    <t>089515479988, 089682579549, 085713033435, 0895422570874, 089688049896</t>
  </si>
  <si>
    <t>https://drive.google.com/open?id=1hlAJxHVjOE8gYP-5JlhOs1_ufl7xo-CU</t>
  </si>
  <si>
    <t xml:space="preserve">Dewi Kumalasari </t>
  </si>
  <si>
    <t>Gazwah 2</t>
  </si>
  <si>
    <t>https://drive.google.com/open?id=1v-PJACEVbuCV5VY1UV_QEQN4VN9oZ7AR</t>
  </si>
  <si>
    <t>https://drive.google.com/open?id=1UlUE5jdaZXShGGnnu7IwTENR86A8t5Gl</t>
  </si>
  <si>
    <t>085601242892, 085601243893, 085601242898</t>
  </si>
  <si>
    <t>https://drive.google.com/open?id=1TR0J4ERtj0DP0NKjdw0f5S-eoZ3c1V8X</t>
  </si>
  <si>
    <t>https://drive.google.com/open?id=1huLYprj-tZHTe50pcEVu-CAOvGvrqUpl</t>
  </si>
  <si>
    <t>https://drive.google.com/open?id=1owE6thnyG4e5SozAllMYrL1wTgG4pLqh</t>
  </si>
  <si>
    <t>https://drive.google.com/open?id=1CHlNpsshA-KEUAhe2TwuLWcSqeNX1oca</t>
  </si>
  <si>
    <t xml:space="preserve">Gazwah 2 </t>
  </si>
  <si>
    <t>https://drive.google.com/open?id=1B8chfwGowqW0GnGzLoaKq7s4D3g1KwnK</t>
  </si>
  <si>
    <t>32 orang (ada beberapa yang tidak terfoto karena ada beberapa yang tidak mau)</t>
  </si>
  <si>
    <t xml:space="preserve">1 rebuy pulsa, 1 voucher </t>
  </si>
  <si>
    <t>https://drive.google.com/open?id=1voX_O-cHGxwTeVhS417lqH2XY06jxa1x</t>
  </si>
  <si>
    <t>081515835028</t>
  </si>
  <si>
    <t>https://drive.google.com/open?id=1qBJZr2R8HgCdKx553f2_nx1SMKvtAWUY</t>
  </si>
  <si>
    <t>https://drive.google.com/open?id=1u9KDnHadq3oKrAfIt4AOPRUvJof8y3Nw</t>
  </si>
  <si>
    <t>-</t>
  </si>
  <si>
    <t>- isi ulang data 1 (tri). - isi ulang pulsa 2 (IM3) , voucher 5</t>
  </si>
  <si>
    <t>https://drive.google.com/open?id=1bgoXNNvEhVUrXPN4JXpNG22m5c0Vsueu</t>
  </si>
  <si>
    <t>089514978481, 081515835028, 085853262146</t>
  </si>
  <si>
    <t>https://drive.google.com/open?id=1XNWk20nFEkpGUlOUabbNQrGD5R36xMCy</t>
  </si>
  <si>
    <t xml:space="preserve">gazwah 2 </t>
  </si>
  <si>
    <t>https://drive.google.com/open?id=11Nn5pWSfXAs0bEKQyU07oI83GpcudPPc</t>
  </si>
  <si>
    <t>voucher 5</t>
  </si>
  <si>
    <t>https://drive.google.com/open?id=1lEfR19WuOKrsMecn797T3GVD4f-3zyRz</t>
  </si>
  <si>
    <t>085641119022, 085641118997</t>
  </si>
  <si>
    <t>https://drive.google.com/open?id=1W-tstGIbEeSbnzb453LtfJfTuEpbdzY0</t>
  </si>
  <si>
    <t>https://drive.google.com/open?id=1SU9hnyve91ubwMLoUZemARU92LctEePD</t>
  </si>
  <si>
    <t xml:space="preserve">19, voucher 18, isi ulang pulsa 1 </t>
  </si>
  <si>
    <t>https://drive.google.com/open?id=1lHVsDHWP5EsZnNhfSn-l2LLMOlwhIh9B</t>
  </si>
  <si>
    <t>085641118994, 089682005144, 085641118952</t>
  </si>
  <si>
    <t>085875411136</t>
  </si>
  <si>
    <t>https://drive.google.com/open?id=1KLQh8OOHMdsUKPtdC1qkq33E8JIWEw9t</t>
  </si>
  <si>
    <t>https://drive.google.com/open?id=1trOpM8KfN-i2s1mguF84SGOMmAa43Esg</t>
  </si>
  <si>
    <t>https://drive.google.com/open?id=1NCo18tzgU7dMAlvg-_8PtBXIJ9wIMxF4</t>
  </si>
  <si>
    <t>085641118993, 085641118894</t>
  </si>
  <si>
    <t xml:space="preserve">- </t>
  </si>
  <si>
    <t>https://drive.google.com/open?id=1p5NPQ83wH3nQWxjwswQ6AMCMSyJ9-Q22</t>
  </si>
  <si>
    <t>https://drive.google.com/open?id=1kIgMuWBIYGD2FaP2k5DNFw2P3UFggCyl</t>
  </si>
  <si>
    <t>voucher 1</t>
  </si>
  <si>
    <t>https://drive.google.com/open?id=1UvhRhm3a4YYPfSOISVLrCzA2tdDKTD-m</t>
  </si>
  <si>
    <t>085641118942</t>
  </si>
  <si>
    <t>https://drive.google.com/open?id=11-0M__41-VDWJe1dylwxBDXwzWCiFnXB</t>
  </si>
  <si>
    <t>Dimas</t>
  </si>
  <si>
    <t>Savira cell</t>
  </si>
  <si>
    <t>https://drive.google.com/open?id=1NOv6eQ0iclyH2l4RqOorojd8_Zo9Qatl</t>
  </si>
  <si>
    <t>https://drive.google.com/open?id=12bEUa3HN5GevhbOb2B1jKGecoKrdgy7z</t>
  </si>
  <si>
    <t>085737017953</t>
  </si>
  <si>
    <t>https://drive.google.com/open?id=1ETkOJCgpMMbqb90iRloJtYtiyhfZA51E</t>
  </si>
  <si>
    <t>DIMAS</t>
  </si>
  <si>
    <t>https://drive.google.com/open?id=1I7MdHDcuRhN662oK94dWv-NQAOgVMvE8</t>
  </si>
  <si>
    <t>https://drive.google.com/open?id=1SJrFXfU6c68lj0aWbmjqcQnt1Br7is6a</t>
  </si>
  <si>
    <t>085748587728</t>
  </si>
  <si>
    <t>https://drive.google.com/open?id=18zIwk_TNW7-xeqOhZ0fKo5cF6t3R0Fvj</t>
  </si>
  <si>
    <t>https://drive.google.com/open?id=1-brV3os7kzsupGug6mC9Ympi42psBX49</t>
  </si>
  <si>
    <t>https://drive.google.com/open?id=1Q5fHAFARB8bSfjDJVuGnrGya7X7xvUb-</t>
  </si>
  <si>
    <t>085801199373, 085741322241</t>
  </si>
  <si>
    <t xml:space="preserve">085817703765, 085755609086, 085856742001, </t>
  </si>
  <si>
    <t>https://drive.google.com/open?id=18FPI3y85s4T8sjTJfq3NTEfTClUdoAv2</t>
  </si>
  <si>
    <t>https://drive.google.com/open?id=1daU6twRF75vMguIfPJWXcptez0_crZcg</t>
  </si>
  <si>
    <t>https://drive.google.com/open?id=138TIiWGH0zMcdC7bXJJRquOKzDV657jJ</t>
  </si>
  <si>
    <t>085801199358</t>
  </si>
  <si>
    <t>085784020541, 085649526465, 085814755538, 0895639170022</t>
  </si>
  <si>
    <t>https://drive.google.com/open?id=1oAYcxi6_D4Eatv8udLhArQIbN1WjM9uB</t>
  </si>
  <si>
    <t>https://drive.google.com/open?id=1x7bW647GnBi2HQPcYQqYNzTaLsbxnPtF</t>
  </si>
  <si>
    <t>https://drive.google.com/open?id=1lhpKo6sbA3MbByKHX68YDaCVIxZbksVM</t>
  </si>
  <si>
    <t>085801199360, 0895634222436, 0895634222438, 0895634222435</t>
  </si>
  <si>
    <t>085791451547</t>
  </si>
  <si>
    <t>https://drive.google.com/open?id=1CkfzqYXEFqvipkwGvUGGpovAA6Tp2vZe</t>
  </si>
  <si>
    <t>https://drive.google.com/open?id=12DlQ2a7OEvISY7BH-qL-w7k3Yh_iWi6D</t>
  </si>
  <si>
    <t>https://drive.google.com/open?id=17ckb5DIF5VwC3VPntQ2sJBkgMdMXVjKl</t>
  </si>
  <si>
    <t>085801199364, 085801199365</t>
  </si>
  <si>
    <t>085549080363, 081456141167</t>
  </si>
  <si>
    <t>https://drive.google.com/open?id=13yfzRHYVwjhiFO0xyLyLVudk-l5R9reK</t>
  </si>
  <si>
    <t>Dina Anita Veronica</t>
  </si>
  <si>
    <t>UMY</t>
  </si>
  <si>
    <t>https://drive.google.com/open?id=1W-ejAyWKgUzZAZ-VMskbWyCUFJsFOQTr</t>
  </si>
  <si>
    <t>https://drive.google.com/open?id=1eGGDPXpLfXnwWmMCQtzRB_NOs9SeUBZ-</t>
  </si>
  <si>
    <t>https://drive.google.com/open?id=1f_SVntkSwYGcSbkXyLkfu3ZNoxQo1wpM</t>
  </si>
  <si>
    <t>Dinda Nur Afifa</t>
  </si>
  <si>
    <t>Java Cell</t>
  </si>
  <si>
    <t>https://drive.google.com/open?id=1UodWyzc6UhpKOXEyKe_eMr6rpfxw_Pwi</t>
  </si>
  <si>
    <t>+</t>
  </si>
  <si>
    <t>https://drive.google.com/open?id=16U6NyI-v15wht54FBPf_M1PAetFi4fXh</t>
  </si>
  <si>
    <t>https://drive.google.com/open?id=1OSNsGipjSMaMpT6P3lopSs3xzYtPznqZ</t>
  </si>
  <si>
    <t>https://drive.google.com/open?id=16xBqMqG17sjxjoik9vlMG0oDS6G2jMv4</t>
  </si>
  <si>
    <t>https://drive.google.com/open?id=1bDj5jzIXIUGBhdO4dxbm9EzKahyN_GQa</t>
  </si>
  <si>
    <t>085877059579/085877059577</t>
  </si>
  <si>
    <t>https://drive.google.com/open?id=1CNxbLC8dPhzAHJj6-ge6r-em_SBurATo</t>
  </si>
  <si>
    <t>https://drive.google.com/open?id=14xZAV3mC1Cf3HFIsVPmW2jMGb05A8ANk</t>
  </si>
  <si>
    <t>https://drive.google.com/open?id=155Sp3-jfOpjaLkxXVgwGUq7eUILndwRg</t>
  </si>
  <si>
    <t>https://drive.google.com/open?id=1t4ZVYfMc4DKwQmJjRf_qICrxMn1YpxXV</t>
  </si>
  <si>
    <t xml:space="preserve">Nirmala Cell </t>
  </si>
  <si>
    <t>https://drive.google.com/open?id=1DlcAe8wcNXql6PnoUnWSUVAcPOpy8mOY</t>
  </si>
  <si>
    <t>https://drive.google.com/open?id=1BY7zDDRzZaFKa8p833q1KSXZuJ6M2gQr</t>
  </si>
  <si>
    <t>https://drive.google.com/open?id=1AXUU8azrcGtNB4kmU4p6ZkfsYtXlIGEo</t>
  </si>
  <si>
    <t>Eka</t>
  </si>
  <si>
    <t>https://drive.google.com/open?id=1NHwLXN7GbMNrUJJVy9-91HXCXJ1pbbpz</t>
  </si>
  <si>
    <t>https://drive.google.com/open?id=1uDz2FE_7TnRQKrU9HIaQb9EkPKdbp94-</t>
  </si>
  <si>
    <t>https://drive.google.com/open?id=1AqHQL2ECVhBNwO5BMy7DZ-I0Fgb3O2BE</t>
  </si>
  <si>
    <t>Emillia</t>
  </si>
  <si>
    <t>BMC CELL</t>
  </si>
  <si>
    <t>https://drive.google.com/open?id=1leSLW_SOKpWhSFQsWf2Gu3K0X404BwQQ</t>
  </si>
  <si>
    <t>https://drive.google.com/open?id=1Z4RqPVy-nb4SNy1uqprmT_WWnuisOdU1</t>
  </si>
  <si>
    <t>085806041608</t>
  </si>
  <si>
    <t>0854324567899</t>
  </si>
  <si>
    <t>https://drive.google.com/open?id=1Dufv0XW0yxNORRjkcfUuukZqCpYA1KOo</t>
  </si>
  <si>
    <t>BMC cell</t>
  </si>
  <si>
    <t>https://drive.google.com/open?id=1AtwdQjm25aHxyRgkxye_irZkHEKflYQm</t>
  </si>
  <si>
    <t>https://drive.google.com/open?id=1iHYCXbEtYY2QodH-x8YvsWho6n9q8wmC</t>
  </si>
  <si>
    <t>089673062721, 089673062695</t>
  </si>
  <si>
    <t>085855422614, 085706669426,08776555692,085607135937,058743068509,0895364719276</t>
  </si>
  <si>
    <t>https://drive.google.com/open?id=1L1toLE6XXcf_-EAvBV8YNmDegkktvXu0</t>
  </si>
  <si>
    <t>https://drive.google.com/open?id=1hcVTrO7xvWulYjTjUhMqnzwccWmS7MZJ</t>
  </si>
  <si>
    <t>https://drive.google.com/open?id=19v6FdaAKls-BNwShi0QUqFq9jcDyfxth</t>
  </si>
  <si>
    <t>089673062712</t>
  </si>
  <si>
    <t>085733878622</t>
  </si>
  <si>
    <t>https://drive.google.com/open?id=11gOW7EMseXBeG6aSX1mgZ4trCF0vC2S-</t>
  </si>
  <si>
    <t>https://drive.google.com/open?id=1FbVixRolCBNcSx_EpRVbZqQKt7rpGJQn</t>
  </si>
  <si>
    <t>https://drive.google.com/open?id=12Gpw3mfQcbeNVCWD2qEwpaMIayqCBBIF</t>
  </si>
  <si>
    <t>089673062708</t>
  </si>
  <si>
    <t>085801198978</t>
  </si>
  <si>
    <t>https://drive.google.com/open?id=13V8lmGMyjiF-ybG33GSIFhoXQ3Ejh-CI</t>
  </si>
  <si>
    <t>Endah Widowati</t>
  </si>
  <si>
    <t>S5</t>
  </si>
  <si>
    <t>https://drive.google.com/open?id=1auIopl0M8vvF88YpMQ_FEElDNhDpZbiZ</t>
  </si>
  <si>
    <t>https://drive.google.com/open?id=144pM4GkTs9NQqNH2357YsL2wqRy1FqBF</t>
  </si>
  <si>
    <t>085742698339 , 085702836106</t>
  </si>
  <si>
    <t>085600583738(38.000) , 085731040589(38.000) , 081515992162(41.000) , 085707639409(38.000) , 085713181564(82.000) , 08570177645742.000) , 08977228454(56.000) , 0895324757553(83.000) , 089524693590(38.000) , Voucher AON 33.0000</t>
  </si>
  <si>
    <t>https://drive.google.com/open?id=1wrMHIV5tmVWl0h41ECdQgGmSHufrNk2r</t>
  </si>
  <si>
    <t>https://drive.google.com/open?id=1iAf9UfuW837RnXojKgUkv7NSmPPQDxxZ</t>
  </si>
  <si>
    <t>https://drive.google.com/open?id=1O_z7R3X1EctY6i73dZAHQ7ICDlSdmn7J</t>
  </si>
  <si>
    <t>085857744497 (10Gb) , 085742698335 (10Gb)</t>
  </si>
  <si>
    <t>085746557067 - 24gb 62.000 , 085749020509 - 7gb 38.000 , 085792919026 - 16gb 52.000 , 085857265827 - 24gb 62.000 , Voucher 7gb 38.000 , Voucher 3 7gb 38.000 , Voucher 3 42gb 83.000 , 085869244657 (Pulsa 50rb)</t>
  </si>
  <si>
    <t>https://drive.google.com/open?id=1D5VDyvtttScJlIcDiCnF0kyIJrWvufCi</t>
  </si>
  <si>
    <t>S5 Jojoran</t>
  </si>
  <si>
    <t>https://drive.google.com/open?id=1EImRpIWy9rKuDwDGa8ekB_I3kSZ54inQ</t>
  </si>
  <si>
    <t>https://drive.google.com/open?id=1YEa1E6PqX7Jyc_6YFzRpgc4r7jqOIeug</t>
  </si>
  <si>
    <t>085806040738</t>
  </si>
  <si>
    <t>085606657868 - 7gb 37.000 , 085810388726 - 10gb 41.000 , 085704009184 - 10gb 33.000 , Voucher 42gb 83.000 , 085600634718 -50gb 90.000 , Voucher 24gb 60.000</t>
  </si>
  <si>
    <t>https://drive.google.com/open?id=1MxHvdcsGFVJLPYAzgmw9BBSW5d-WF30i</t>
  </si>
  <si>
    <t>https://drive.google.com/open?id=1ajig0nKWirL5XQUSVKS3c9IovaUvtfxR</t>
  </si>
  <si>
    <t>https://drive.google.com/open?id=1a7UO6DVFNJBezFaUMoste2uFgWf8u6u6</t>
  </si>
  <si>
    <t>085742698368 , 085702836102 , 085806040733 , 085806040730 ,085806040731 , 085801200410 , 085801200411</t>
  </si>
  <si>
    <t>085607664310 - 7gb  38.000 , 085791238442 - 16gb  52.000 , 085607085012 - 30gb  72.000 , 085706157800 - 66gb  102.000 , 085748491916 - 7gb  38.000 , Voucher Three AON 6gb  38.000 , Voucher Three 42gb 83.000 , Voucher Three 7gb  38.000</t>
  </si>
  <si>
    <t>https://drive.google.com/open?id=1vrqLsvaPWuS8yid3vTue-x8Uo2bstMqG</t>
  </si>
  <si>
    <t>Erlis Krisnawati</t>
  </si>
  <si>
    <t>Gowes Cell</t>
  </si>
  <si>
    <t>https://drive.google.com/open?id=1GZS5x_cuhloaej9bqkKcRlgOWCkwPdYv</t>
  </si>
  <si>
    <t>2-</t>
  </si>
  <si>
    <t>https://drive.google.com/open?id=15QLcCsWitpajjCNXGu2N9G0CKBu-PA70</t>
  </si>
  <si>
    <t>085879056518</t>
  </si>
  <si>
    <t>https://drive.google.com/open?id=1TqpMuS30QE7YmhFnMrO5ChmFzwhQ7Pso</t>
  </si>
  <si>
    <t>https://drive.google.com/open?id=1QlfYDJfFEPfvisefEqRaT6m7J68ERb8l</t>
  </si>
  <si>
    <t>https://drive.google.com/open?id=182I2F8Kke8OJ2I543LQvMpEU8aFKrMLU</t>
  </si>
  <si>
    <t>085879054875</t>
  </si>
  <si>
    <t>https://drive.google.com/open?id=1ddagwiMiQZmJXV2CrUCTLwSSYihE-Or6</t>
  </si>
  <si>
    <t>https://drive.google.com/open?id=1Lz0ZEajq5LPWE7tMfeJzCBk7xs9kkW03</t>
  </si>
  <si>
    <t>https://drive.google.com/open?id=1mEoVkjUpUGm7AXRtQjlbhm0vp4uzpwPS</t>
  </si>
  <si>
    <t>https://drive.google.com/open?id=1ojvsgi8v8FL6zucM-t7IHDorSrkyM3eQ</t>
  </si>
  <si>
    <t>Gowes cell</t>
  </si>
  <si>
    <t>https://drive.google.com/open?id=1cD9zV9wqFDWPEaqwd2kmo9XjKu4uEQ88</t>
  </si>
  <si>
    <t>https://drive.google.com/open?id=16PuCm7Q0aRkNGOetnf-raBRLjtjp3w5t</t>
  </si>
  <si>
    <t>https://drive.google.com/open?id=1MN5BZTEZ4quVNQU_AcxQvAV7DHgCs5j9</t>
  </si>
  <si>
    <t>https://drive.google.com/open?id=1M7lTLmVqErvUfpixp2tuiJsNndpoqqzY</t>
  </si>
  <si>
    <t>https://drive.google.com/open?id=1Iyn08Kr3yIY_lLcYqgF8jrYUDZyTC5ef</t>
  </si>
  <si>
    <t>085867685868,</t>
  </si>
  <si>
    <t>https://drive.google.com/open?id=1TQDD7nPRJKxy9mz8QI5NnmSWxVqMd4Qa</t>
  </si>
  <si>
    <t>https://drive.google.com/open?id=1cuCbVVWOugphrES-FMjck7jg0CytObuW</t>
  </si>
  <si>
    <t>https://drive.google.com/open?id=1c_iltrkOaEklexQdlFLK157jY4UOYH3k</t>
  </si>
  <si>
    <t>—</t>
  </si>
  <si>
    <t>https://drive.google.com/open?id=1SMA6xhZc6lFqv0ivnzVbSgrGT_bni8Jj</t>
  </si>
  <si>
    <t>https://drive.google.com/open?id=1pMSF0X4WST5emaW25PnS9qX9asJgYHDz</t>
  </si>
  <si>
    <t>https://drive.google.com/open?id=1dzndpsuhbtp5tSLsUB9byuOPAiGkjwIB</t>
  </si>
  <si>
    <t>0895635016222</t>
  </si>
  <si>
    <t>https://drive.google.com/open?id=1TZPhR1FU4Op4Y_RD1AwWYWGDWxjPU2Lu</t>
  </si>
  <si>
    <t>Eva diana</t>
  </si>
  <si>
    <t>mox cell</t>
  </si>
  <si>
    <t>https://drive.google.com/open?id=1ZtkyDxA9YB0wFQyVO_AW2rjrnU9YYOo4</t>
  </si>
  <si>
    <t>https://drive.google.com/open?id=1IVuT5YVkyJ7EZ9VCO59vJZcapKvpoRIC</t>
  </si>
  <si>
    <t>0895635163433 ,08989718016,0895328180800</t>
  </si>
  <si>
    <t>https://drive.google.com/open?id=1ri2b910qi3AGtnnw4mUyTAh1ZVNtyGzq</t>
  </si>
  <si>
    <t>https://drive.google.com/open?id=1qSUXtCNARYgM4WyaC8RAAKnj4tTjY45n</t>
  </si>
  <si>
    <t>https://drive.google.com/open?id=1HzozJ3NRQMLhPoDb1C-jHlV7RXPN52Zv</t>
  </si>
  <si>
    <t>https://drive.google.com/open?id=1mowx6nOyVIRxhyQBlTX7IQEIbykLDDPo</t>
  </si>
  <si>
    <t>Mox cell</t>
  </si>
  <si>
    <t>https://drive.google.com/open?id=1lpIEL5KQJn-6cSgO-c_R5b2BkU1aWyfF</t>
  </si>
  <si>
    <t>https://drive.google.com/open?id=1RyIrgLKTSH3LsSVqrFX72WDeuyNGSC4i</t>
  </si>
  <si>
    <t>085726877756</t>
  </si>
  <si>
    <t>https://drive.google.com/open?id=1ShXcCvFkOAsaP_zPLEjTSK_B1y1FBDqH</t>
  </si>
  <si>
    <t>https://drive.google.com/open?id=1JtslwcqIab8WBg3fSu0RqopGxwow6tjd</t>
  </si>
  <si>
    <t>https://drive.google.com/open?id=12xbIFlZG5MSkefK3QY2lnZd-3xnEUmJv</t>
  </si>
  <si>
    <t>0895703212135</t>
  </si>
  <si>
    <t>+62 815-1737-7727</t>
  </si>
  <si>
    <t>https://drive.google.com/open?id=1Om_2kjoU-3xE5RPGz3_n88UkOleGuIMx</t>
  </si>
  <si>
    <t>https://drive.google.com/open?id=1ckV_I_bRynVWOWFV37jCEgr8amAzilhf</t>
  </si>
  <si>
    <t>https://drive.google.com/open?id=1JNVOmLBXpSj_O98Z2kXY123bQ90C1KKh</t>
  </si>
  <si>
    <t>08572687760</t>
  </si>
  <si>
    <t>https://drive.google.com/open?id=1gQQzXjhmj0pwXbE0IAKe_wizZ2OBmPT_</t>
  </si>
  <si>
    <t>https://drive.google.com/open?id=1zZBHH_f_8XBmCNajlnSB7e5Ep5rUqLp8</t>
  </si>
  <si>
    <t>https://drive.google.com/open?id=1CTqLwnlJRCtcXw78m_KRvDZomAxsrIBX</t>
  </si>
  <si>
    <t>085726888918.085731174382.</t>
  </si>
  <si>
    <t>081567895857,</t>
  </si>
  <si>
    <t>https://drive.google.com/open?id=1hEXzcANVq61RdRa2Oi5rfZXG_LQu5Mlp</t>
  </si>
  <si>
    <t>https://drive.google.com/open?id=1H5CiXdZXI_K0TmQi1ehbmyNCc2UCcOKD</t>
  </si>
  <si>
    <t>https://drive.google.com/open?id=1svJoAOO0_NJAgOkRLr-F2tlyNI2038dN</t>
  </si>
  <si>
    <t>https://drive.google.com/open?id=16QZacA4zCKPmW5DN1hO3YDA02wqHACD3</t>
  </si>
  <si>
    <t>https://drive.google.com/open?id=11aryR-8krlxzY6_0xtHYpd6T4iKadX1_</t>
  </si>
  <si>
    <t>https://drive.google.com/open?id=1ypWaYnuQ63JoXroymQkcZU0lkRS5Lbwn</t>
  </si>
  <si>
    <t>089682619864</t>
  </si>
  <si>
    <t>https://drive.google.com/open?id=15kOmtyIGYgTMGlKWL8WnRX8gnKXCpN7p</t>
  </si>
  <si>
    <t>Fandi Ahmad</t>
  </si>
  <si>
    <t>Prasanjaya Cell</t>
  </si>
  <si>
    <t>https://drive.google.com/open?id=1dyjPFFRBsRMIXBa0JLNrcjmYIgI8wMNl</t>
  </si>
  <si>
    <t>https://drive.google.com/open?id=1zipv_16coacbZQfK5yYNFtFmarxzVRuN</t>
  </si>
  <si>
    <t>085738235261</t>
  </si>
  <si>
    <t xml:space="preserve">6285852710931 , 6285755758648 , 6285785029281 , 6285646308200 , 6285785971492 , </t>
  </si>
  <si>
    <t>https://drive.google.com/open?id=19Cp1V9GPu1Dh4uhuEAYVwhAGAopzxe3i</t>
  </si>
  <si>
    <t>Prasanjaya cell</t>
  </si>
  <si>
    <t>https://drive.google.com/open?id=1dNITfnD8xHpGuoqEQ2blpmRQfVtzqciQ</t>
  </si>
  <si>
    <t>https://drive.google.com/open?id=1HmnApx6jfk971E2d4gmzvlT4UgllMlHM</t>
  </si>
  <si>
    <t>6285706872455 , 6285706872474 , 6285706872475 , 6285706872473,6285706794482,6285706794483,6285706794481</t>
  </si>
  <si>
    <t xml:space="preserve">6285808511393 , 628560766334 ,6285745483971 , 6285730284842 , 6285607577621 , </t>
  </si>
  <si>
    <t>https://drive.google.com/open?id=1gFT3mgXQsW40Ti04pLiHKEE1-qczsyee</t>
  </si>
  <si>
    <t>Event Workshop Gemini AI at Univ STIE MALANG KUCECWARA</t>
  </si>
  <si>
    <t>https://drive.google.com/open?id=1f1jiw1EW67xE7i7BGzSro8dzvwqRPnnL</t>
  </si>
  <si>
    <t>https://drive.google.com/open?id=1ywqAUxv5J8VpUlazwAk1qrgarn1PHh_G</t>
  </si>
  <si>
    <t xml:space="preserve">085706808266 ,085706808279 085706808270 , 085706808275 ,085706808283 , 085706808284 , 085706808288, 085706808292 ,085706808303 </t>
  </si>
  <si>
    <t>085731209887 , 085895404542 , 085855024437 , 085791956458</t>
  </si>
  <si>
    <t>https://drive.google.com/open?id=1CSNqSqqkqy0dX30H8ZcUmEJUO5HZSKBV</t>
  </si>
  <si>
    <t>Prasanjaya Cell &amp; Univ BRAWIJAYA</t>
  </si>
  <si>
    <t>https://drive.google.com/open?id=1WQ_USx67-uGNsIe757FJakGKM3TVZa3I</t>
  </si>
  <si>
    <t>https://drive.google.com/open?id=10RaWJXHDX2k0kswA9zCialP8fBiWYl8e</t>
  </si>
  <si>
    <t>6285706808308 6285706808314 6285706808318 6285706808324 6285706808325 6285706808330 6285706808339 6285706808344 6285706808371 6285706808379 6285706808380</t>
  </si>
  <si>
    <t>6281517528145 , 6285646058100 , 6285736015342 , 6281558444977</t>
  </si>
  <si>
    <t>https://drive.google.com/open?id=12s6-v-Lqgc0yuhA1Apj6tvw0hLL4xtzH</t>
  </si>
  <si>
    <t>Prasanjaya Cell ,Univ Brawijaya , Univ Malang Kucecwara</t>
  </si>
  <si>
    <t>https://drive.google.com/open?id=15KOYcEYOWXc8lsHcwWCAuc9ymsfXbX-x</t>
  </si>
  <si>
    <t>https://drive.google.com/open?id=1U-RilbaoxoEMScV_UUXFSEc-DotbIk0r</t>
  </si>
  <si>
    <t>6285706808391 6285706808403 6285706808415 6285706808418 6285706808426 6285706808427 6285706808441 6285706808451 6285706808457 6285706808461</t>
  </si>
  <si>
    <t>6285895923687 6285606206691 6285646306890 6285604559286</t>
  </si>
  <si>
    <t>https://drive.google.com/open?id=1oC1n8ihD9GXUp-ijKuB_2WW2b9-HCpJg</t>
  </si>
  <si>
    <t>Avoraya cell dan Univ Brawijaya</t>
  </si>
  <si>
    <t>https://drive.google.com/open?id=1dOtCAma7cRmynD7RMBF6YSRhjroyjfs4</t>
  </si>
  <si>
    <t>https://drive.google.com/open?id=1027pxdYu_2ysMhidvAjdPuIKdnoalYgU</t>
  </si>
  <si>
    <t>6285706808462 6285706808467 6285706808469 6285706808471 6285706808472 6285706808480 6285706808488 6285706808489 6285706808495 6285706808497</t>
  </si>
  <si>
    <t>6285713893554 6285792530420 6285468994563</t>
  </si>
  <si>
    <t>https://drive.google.com/open?id=1kaTUs2XguPNnZtVdg-0npfsIYitscAPr</t>
  </si>
  <si>
    <t>PRASANJAYA CELL</t>
  </si>
  <si>
    <t>https://drive.google.com/open?id=1X8NHm6OPR94u4Ns-sAIlghrBkKQIBkmh</t>
  </si>
  <si>
    <t>https://drive.google.com/open?id=1B0_T7kWXX2LfXupoJetxCNJffw4nTj4h</t>
  </si>
  <si>
    <t>Fira Daniarsa putri</t>
  </si>
  <si>
    <t xml:space="preserve">Puskrip </t>
  </si>
  <si>
    <t>https://drive.google.com/open?id=1XjfCA75pTlWrFW-Xjr62s2OuQ2NlALmL</t>
  </si>
  <si>
    <t>https://drive.google.com/open?id=1B92L4vQvq77s4bnJQ2_Retgf3PKoHPxB</t>
  </si>
  <si>
    <t>085726087226, 085726087220 , 085726087211</t>
  </si>
  <si>
    <t>085850652511 , 085701661530 , 085857515955 , 085607752011</t>
  </si>
  <si>
    <t>https://drive.google.com/open?id=1cnyAbFpNL6kd19fTsu_3skS61JsUJ4PX</t>
  </si>
  <si>
    <t>Puskrip</t>
  </si>
  <si>
    <t>https://drive.google.com/open?id=1Xyuobyq5Txo_VK390oVwnqILvC1pamqd</t>
  </si>
  <si>
    <t>https://drive.google.com/open?id=1F_uGfmATZCQWJDUJfMJgNIo-a6ip510l</t>
  </si>
  <si>
    <t>085726087388, 085726087180, 085726087235, 085726087278, 085726124987, 085725452171, 085726087243</t>
  </si>
  <si>
    <t>089616806185 , 089505534390</t>
  </si>
  <si>
    <t>https://drive.google.com/open?id=1ZOd7W1KxEmFmg_ARE16dus6KqYSu6ffA</t>
  </si>
  <si>
    <t>https://drive.google.com/open?id=19JFZgR7uJyHs8BHMaIrDN1mlJaZhLjXC</t>
  </si>
  <si>
    <t>https://drive.google.com/open?id=1gSYCjM_BmfEgEtPkBXczNvTyWNOzZUhc</t>
  </si>
  <si>
    <t>085725452163 , 085726087236</t>
  </si>
  <si>
    <t>089518113757 , 085704651634</t>
  </si>
  <si>
    <t>https://drive.google.com/open?id=1GhszfX7XXFdmDbzOtIHXr17SMc-6IDv9</t>
  </si>
  <si>
    <t>https://drive.google.com/open?id=1LQY2stskx1fPUKvYdxSd604fWc5LtaDy</t>
  </si>
  <si>
    <t>https://drive.google.com/open?id=1DcmjoNPC1XX2eMkAvvswQi0Hk3Hq-FrB</t>
  </si>
  <si>
    <t>085856047523 , 0895634211303</t>
  </si>
  <si>
    <t>https://drive.google.com/open?id=1Bmv9ci0WWb0df-GoZ15tAVrLi_H7S5tS</t>
  </si>
  <si>
    <t>https://drive.google.com/open?id=1r73W9WKFESGTg9Pqx5MppddoeV6mOtFE</t>
  </si>
  <si>
    <t>https://drive.google.com/open?id=1P_GX0IEnObf0lRGSvgzbBbIj0vklxk3_</t>
  </si>
  <si>
    <t>https://drive.google.com/open?id=10ul78cReRB5eNCOxnbVYDwlSl9mYFL3P</t>
  </si>
  <si>
    <t>https://drive.google.com/open?id=1Pd6NhprzMrskSbpyFJ-nPVLFV-bgQ5J3</t>
  </si>
  <si>
    <t>https://drive.google.com/open?id=1yXTkAdrU7cQwbfc2W60hugmOodP1qKu_</t>
  </si>
  <si>
    <t>https://drive.google.com/open?id=1_dLZx2XA1QCRo2TKNdyiX__iRNKKbVYy</t>
  </si>
  <si>
    <t>https://drive.google.com/open?id=1IQFLp4zTamiJOolWY-F5d7s5r7Y_PaiL</t>
  </si>
  <si>
    <t>https://drive.google.com/open?id=18rH3ZqFRqq7bbs2Pg0u8ThKuHg7Niw3O</t>
  </si>
  <si>
    <t>https://drive.google.com/open?id=1AGNU8jOROV7k_ddH2-bhXusmGDqp97OB</t>
  </si>
  <si>
    <t>https://drive.google.com/open?id=1j5kh2rm5qGYQVvdw0P1cRtOP1Nffcqt5</t>
  </si>
  <si>
    <t>https://drive.google.com/open?id=1Tlx-7-SJubtfdaA2vqsEbfJ1bVuyARUc</t>
  </si>
  <si>
    <t xml:space="preserve">085741333561  ,085726088038 ,085726088037 ,085726088036 ,085741333277 ,085726087212 ,085726087565 ,085726087378 </t>
  </si>
  <si>
    <t>085731609592 , 085648893098 , 085233617255</t>
  </si>
  <si>
    <t>https://drive.google.com/open?id=1jvUtKdOIGaXr0K2IQX58dN_BsQ6G_5o7</t>
  </si>
  <si>
    <t>https://drive.google.com/open?id=1mBRQSlmdZYdz9pmAdB0w-TRm4SYSg0Kq</t>
  </si>
  <si>
    <t>https://drive.google.com/open?id=1Fi7TShYIe4UbV_VmSqiU1MOIBrIKsLOD</t>
  </si>
  <si>
    <t>085726087543,085725452152,085726124997,08526124988,085875037506,085726087156,  085726087602 , 085726087543</t>
  </si>
  <si>
    <t>085748485194 , 089678940114 , 08998808226 ,085853917577,</t>
  </si>
  <si>
    <t>https://drive.google.com/open?id=10kccmgafFDiTJd3K_QLzhIEbm8NpfItf</t>
  </si>
  <si>
    <t>https://drive.google.com/open?id=1qiFA3iYs9s889YbyYswJoBWOHFFWTcil</t>
  </si>
  <si>
    <t>https://drive.google.com/open?id=1sObW_7IZL2uMYv3T8KTWxruZKifk6_vD</t>
  </si>
  <si>
    <t xml:space="preserve">085875037546 , 085726087541 , 085741333426 </t>
  </si>
  <si>
    <t>085780174692 , 089616197605 , 089678937894</t>
  </si>
  <si>
    <t>https://drive.google.com/open?id=1yOIl4wZrMH5_g3MhdVkPJeh9DxfnTdi2</t>
  </si>
  <si>
    <t>https://drive.google.com/open?id=1m8c5_niisgMQiaQdLlpAonzKyiA1a22B</t>
  </si>
  <si>
    <t>https://drive.google.com/open?id=1Tpt5hHBMbo4bDKMUgJmuJn1OKJXx2X-D</t>
  </si>
  <si>
    <t>085726124944 , 085725452173 , 085726087540 , 085726124975 , 085725452169 , 085726087269 , 085726087161 , 085726124979 ,085743069118</t>
  </si>
  <si>
    <t>089525563795 , 085704010338 , 089616820381 , 085746731610</t>
  </si>
  <si>
    <t>https://drive.google.com/open?id=1YWw7AZQEhGTaMTyrVnZYiZay4ok5vEYb</t>
  </si>
  <si>
    <t>https://drive.google.com/open?id=1zfjB29V-CgpDCFN4tx2l8xNKiPhA1VVo</t>
  </si>
  <si>
    <t>https://drive.google.com/open?id=1FGGSKhxrOc5jxJO2SHFuE7xwHF7oWYMb</t>
  </si>
  <si>
    <t>0895634211303 , 085726124977 , 085725452091 , 085726087321 , 085726087375 , 0895634218793 , 0895634218794 , 085726088013</t>
  </si>
  <si>
    <t>085600545868 , 0895398337222</t>
  </si>
  <si>
    <t>https://drive.google.com/open?id=1LS257a2Y0I7Nwy65KhSA4nDELdyVJ-JW</t>
  </si>
  <si>
    <t>https://drive.google.com/open?id=1v0-uFwfL41GeUK-SXR6Sqzf-daxbqxD6</t>
  </si>
  <si>
    <t>https://drive.google.com/open?id=19jaYgS2oJwOww8wj5SJmiPFiHmsf2_PT</t>
  </si>
  <si>
    <t>089690209551,085842927936 , 085847527188</t>
  </si>
  <si>
    <t>https://drive.google.com/open?id=1cXQHSrCr2pQOk7L9jNPEMM0gUvs7Kogq</t>
  </si>
  <si>
    <t xml:space="preserve">Ganis Ghaniyy Rohim </t>
  </si>
  <si>
    <t>Gowes card</t>
  </si>
  <si>
    <t>https://drive.google.com/open?id=1ZXGEr4YX7eJ6VdytpCxtfqHHEjMi7TBx</t>
  </si>
  <si>
    <t>https://drive.google.com/open?id=1G-Q4BAsFhHF-Axx76vIbbNuHrt8B0H8a</t>
  </si>
  <si>
    <t>08587905625</t>
  </si>
  <si>
    <t>https://drive.google.com/open?id=19yoBl8jc2ysWPxoSUI0Q9r_kfHlojHHx</t>
  </si>
  <si>
    <t xml:space="preserve">Gowes card </t>
  </si>
  <si>
    <t>https://drive.google.com/open?id=1PtY4QjuF0Ohcy1e5EHWNSjyeBcJ2ND4A</t>
  </si>
  <si>
    <t>https://drive.google.com/open?id=1WUP_yo6WBbFmgblHrUjGq36OJsWAsVw4</t>
  </si>
  <si>
    <t>https://drive.google.com/open?id=1I7uClppzI_L3H6oB5kAyWj5P9mpVabc_</t>
  </si>
  <si>
    <t xml:space="preserve">upn </t>
  </si>
  <si>
    <t>https://drive.google.com/open?id=1U4xWQHmovRP9qdApNl_OwLwcyUKNwdih</t>
  </si>
  <si>
    <t>https://drive.google.com/open?id=1Rni5VYg1lhaDuBgqLP2IviY1XUut86tv</t>
  </si>
  <si>
    <t>https://drive.google.com/open?id=1g5kah-uBIdp7CF0bbDolI-c6Go0-CYpm</t>
  </si>
  <si>
    <t xml:space="preserve">Hasjuliana </t>
  </si>
  <si>
    <t xml:space="preserve">Area kampus Jogja </t>
  </si>
  <si>
    <t>https://drive.google.com/open?id=1CnHubORfyWbGobY6OEn7o_VTRBFw_oJp</t>
  </si>
  <si>
    <t>https://drive.google.com/open?id=14BIKxE-yJDCb9PoZ2hGundJ5aZLjJEnF</t>
  </si>
  <si>
    <t>085842036588</t>
  </si>
  <si>
    <t>085842036572</t>
  </si>
  <si>
    <t>https://drive.google.com/open?id=1jF-SGHVdUB2B0b9mHOSdrFtEjHA26wqY</t>
  </si>
  <si>
    <t>Jogja</t>
  </si>
  <si>
    <t>https://drive.google.com/open?id=1ZgaT7eecfClqSsFGYy8MQFr8GNXxUGkz</t>
  </si>
  <si>
    <t>https://drive.google.com/open?id=1WTj_193KNm4Kc8qEVSJv1dERlCS3OcAC</t>
  </si>
  <si>
    <t>085842036586</t>
  </si>
  <si>
    <t>https://drive.google.com/open?id=1elHLLGrAR22J-QKpGj5W1SKyRagN_eSb</t>
  </si>
  <si>
    <t>Ika Isnaini</t>
  </si>
  <si>
    <t>Lets go card</t>
  </si>
  <si>
    <t>https://drive.google.com/open?id=1eKJuZoCCUGWZhR3XeZ3_Zz6irSQHPgBe</t>
  </si>
  <si>
    <t>https://drive.google.com/open?id=1f1hmUaqNFKKnWC23VMXNQWHjKvYm1-Z-</t>
  </si>
  <si>
    <t>https://drive.google.com/open?id=1afrXp1GplTLUzM4xXT75WiJuoN-ngnkL</t>
  </si>
  <si>
    <t>https://drive.google.com/open?id=1RXEiBe-9Xbkbqk_mqODjwaq3yk0z3fc2</t>
  </si>
  <si>
    <t>https://drive.google.com/open?id=1YhXDxouA4Zz0EqEU_4z97bkjg7FiqV5w</t>
  </si>
  <si>
    <t>https://drive.google.com/open?id=1GsVIcQhieEc6XAzKQU8Wi-7VxgfQKlkV</t>
  </si>
  <si>
    <t>https://drive.google.com/open?id=1uFlaaj7Zxc-e9hjEES1loK032FCQzThs</t>
  </si>
  <si>
    <t>https://drive.google.com/open?id=1zBzP8hcKC0fYXzmKY7RV4aJaTMDj1dS7</t>
  </si>
  <si>
    <t>https://drive.google.com/open?id=1VhPk_Ji8snrZnSZYF_jmtHbuakvY5EWr</t>
  </si>
  <si>
    <t>https://drive.google.com/open?id=1kvH6919Exzl0gGgC4uMW3BjBrmOpAUFG</t>
  </si>
  <si>
    <t>https://drive.google.com/open?id=1d-7QcBr-t76Qkl_FSejTfjwHiMLiTXWe</t>
  </si>
  <si>
    <t>https://drive.google.com/open?id=1wK9foCGRxU_-c2JztKnEX4UQxFijO78j</t>
  </si>
  <si>
    <t>https://drive.google.com/open?id=1x6L-chsZEj2Yp7WD5YUubAKC5NzbWe0a</t>
  </si>
  <si>
    <t>https://drive.google.com/open?id=1PYYRB4xtOhQGYAXhv0DAOnhv3m0Rnkxy</t>
  </si>
  <si>
    <t>Ika Mayestika</t>
  </si>
  <si>
    <t>Amos cell</t>
  </si>
  <si>
    <t>https://drive.google.com/open?id=1SWdCif-MnfBtA13pb1HMZdtM0gm6-TES</t>
  </si>
  <si>
    <t>https://drive.google.com/open?id=1diSkX5pxRgSZE712ZD-0G8a4VESPjd6a</t>
  </si>
  <si>
    <t>https://drive.google.com/open?id=1_jcXSInpElHb1fS4ttHRQrYGFCqtiKiE</t>
  </si>
  <si>
    <t xml:space="preserve">SPY cell </t>
  </si>
  <si>
    <t>https://drive.google.com/open?id=1tuvzV-7rglTeUEvf5-J1OjiRRC22Ze4q</t>
  </si>
  <si>
    <t>https://drive.google.com/open?id=1T01dB_Qa6_K4fAkRnhp7OxCaWKQYQ_y5</t>
  </si>
  <si>
    <t>085842015812/085842015815/085842015816</t>
  </si>
  <si>
    <t>085738663017/085640655161/08570105586/085759812312</t>
  </si>
  <si>
    <t>https://drive.google.com/open?id=17o1q6Weg7MK-2RjfeUK0AgsNiHjyHewY</t>
  </si>
  <si>
    <t>https://drive.google.com/open?id=11R4PNwv-irrEsEPYAqs5Eq34R6xv3IhM</t>
  </si>
  <si>
    <t>https://drive.google.com/open?id=1j-QWnt6xItaqPUpQyyDHyvh--4-LrcYy</t>
  </si>
  <si>
    <t>085842015986/085801224328</t>
  </si>
  <si>
    <t>085738663017/085640655161</t>
  </si>
  <si>
    <t>https://drive.google.com/open?id=1ltj3GBUQmxRXH6OP0rHSnEDYw-_WW4yL</t>
  </si>
  <si>
    <t xml:space="preserve">Spy cell </t>
  </si>
  <si>
    <t>https://drive.google.com/open?id=1G_SqeueCQQSWLcFtrbS_la0ESJip8pNf</t>
  </si>
  <si>
    <t>https://drive.google.com/open?id=1wWRn7uHY7VEd6xX_m8ppqTX1hmXLMswN</t>
  </si>
  <si>
    <t>085842015934</t>
  </si>
  <si>
    <t>085876164223/085819848081/085799063721/085869283671</t>
  </si>
  <si>
    <t>https://drive.google.com/open?id=1tGeWKr4PrW4H4rofz2Aw2wWaxuSUFQzU</t>
  </si>
  <si>
    <t>https://drive.google.com/open?id=1LyDye81TJygMqdey5FD-0iOKOSolo1fO</t>
  </si>
  <si>
    <t>https://drive.google.com/open?id=1TitWLm1TwrJ45hee_GKZL3HC02hls_7O</t>
  </si>
  <si>
    <t>081529282812/085879061493/085791173477</t>
  </si>
  <si>
    <t>0895370161838/085837578171/085780738980/085866941959/085643944113/08568239867/0895383240672/085701687078/085802782996/085640595362</t>
  </si>
  <si>
    <t>https://drive.google.com/open?id=1TWMBIUG797cL0PgrlF-zmw3o0FG501sc</t>
  </si>
  <si>
    <t>https://drive.google.com/open?id=1zJwDGGMwYsUpRdxiKXCN8Yg8WWKEEv1H</t>
  </si>
  <si>
    <t>https://drive.google.com/open?id=1w7m5o_pnjHwzIWu66yfCpELwI4ZGYimC</t>
  </si>
  <si>
    <t>081529282811/089666835544/085801224278</t>
  </si>
  <si>
    <t>081575706600/085640830710/085712457980/085712591611/085641984572/085701518629/085640000925/085877047264/085712591611/085759812312</t>
  </si>
  <si>
    <t>https://drive.google.com/open?id=1dqEEvZjc3-HSxArE3T0TahSmbzFRaNCO</t>
  </si>
  <si>
    <t>Keiky Junieta</t>
  </si>
  <si>
    <t>Semesta Cell</t>
  </si>
  <si>
    <t>https://drive.google.com/open?id=1DPXMDyw12Z3J_IwIb1kfeQ-AM5dNdKDh</t>
  </si>
  <si>
    <t>https://drive.google.com/open?id=1jhGt5AJbIh85O8I8ZEwCevRuhHIW7OTn</t>
  </si>
  <si>
    <t>Mox Cell</t>
  </si>
  <si>
    <t>https://drive.google.com/open?id=1b41kFd2xTjAiB9Piym8yuzdCVwxZNrRo</t>
  </si>
  <si>
    <t>https://drive.google.com/open?id=13_MBfthx0XbQDBGTYBMmHSco9OCIj8CP</t>
  </si>
  <si>
    <t>089502505183</t>
  </si>
  <si>
    <t>https://drive.google.com/open?id=1AtdFUxvQGcpxux9oY3xjre0EM46ZYwP6</t>
  </si>
  <si>
    <t xml:space="preserve">Lia Kurniawaty </t>
  </si>
  <si>
    <t>Go green</t>
  </si>
  <si>
    <t>https://drive.google.com/open?id=1UB9GD86reOnw5bwF4Cg8J5QZzmOJih3W</t>
  </si>
  <si>
    <t xml:space="preserve">600 edukasi Gemini </t>
  </si>
  <si>
    <t>https://drive.google.com/open?id=1CchLn6B1f2MiH49dM-Lcmwz2rQoB8onC</t>
  </si>
  <si>
    <t>0895635016220</t>
  </si>
  <si>
    <t>https://drive.google.com/open?id=1flSjScIzgvDaFlKnskktkX6PDBTM64ba</t>
  </si>
  <si>
    <t>https://drive.google.com/open?id=1aDaFMu1zZX447EQHpJu0s5o0W5oYSAmB</t>
  </si>
  <si>
    <t>https://drive.google.com/open?id=1Ac8OBtS-9yizxy3oJOUwYguiYAIXQqfx</t>
  </si>
  <si>
    <t>https://drive.google.com/open?id=1DFJ2tLTI8zvv-QezYhfLgJIS2cfSr31W</t>
  </si>
  <si>
    <t>https://drive.google.com/open?id=1NuLyBuYWXUUuOfg3OGz2dpkrEsEdAHDF</t>
  </si>
  <si>
    <t>https://drive.google.com/open?id=1Wj1lZHrt73zLV-SWlgkDTWvePonGTLqH</t>
  </si>
  <si>
    <t>085600157738</t>
  </si>
  <si>
    <t>https://drive.google.com/open?id=1dcY99RelMhP2eWa3Jf1T312rUK7vh0MB</t>
  </si>
  <si>
    <t>https://drive.google.com/open?id=1j0_0iRtsoMCYgDytQa3t6KxLz6Cfe1Na</t>
  </si>
  <si>
    <t>https://drive.google.com/open?id=1uFqSUcDCLOh5-oi67hRwmVVxN5XZ7mRO</t>
  </si>
  <si>
    <t>0895635016234</t>
  </si>
  <si>
    <t>https://drive.google.com/open?id=1MESM3X45oeOJ8ON-UA997FTysLLn04U0</t>
  </si>
  <si>
    <t xml:space="preserve">Goo green UII </t>
  </si>
  <si>
    <t>https://drive.google.com/open?id=18TOoPvs0MrMrklZlBNke3rsSMWpSFyax</t>
  </si>
  <si>
    <t>https://drive.google.com/open?id=1Cmoag0Y-Ur9VOTYlQzr9V3P5a1ekImiL</t>
  </si>
  <si>
    <t>Lubna intan fadhilah</t>
  </si>
  <si>
    <t>Wifi cell</t>
  </si>
  <si>
    <t>https://drive.google.com/open?id=183u35J4NvZLqa-kljkDwzL2-I1V28sp4</t>
  </si>
  <si>
    <t>https://drive.google.com/open?id=1nqX63gEGAxiWdVP8nI_fckGWUdIGSdnZ</t>
  </si>
  <si>
    <t xml:space="preserve">085707752106 , 085707752144 </t>
  </si>
  <si>
    <t>https://drive.google.com/open?id=14NhvgUC7T_EYqphxgH53YnNepvahw0dM</t>
  </si>
  <si>
    <t>https://drive.google.com/open?id=1iyL_bLjQXM1WPnDM_aOLiHdckKWR6T5J</t>
  </si>
  <si>
    <t>https://drive.google.com/open?id=1f3KZf25_8PZxkVAtnnoSyqEOcm9Ochn8</t>
  </si>
  <si>
    <t>085707752103, 085707752119, 085707752116</t>
  </si>
  <si>
    <t>https://drive.google.com/open?id=1txRfOhGftkT_AXMR-91U9xX0Wt8ZCEMj</t>
  </si>
  <si>
    <t>https://drive.google.com/open?id=1SQbHASMJTf-QyUXKtVRFpB1dOccs870i</t>
  </si>
  <si>
    <t>https://drive.google.com/open?id=1TAbKJOjkPrh_vxNpZ-_7cSTNIMT4SWTK</t>
  </si>
  <si>
    <t>085707751205, 085707751287</t>
  </si>
  <si>
    <t>https://drive.google.com/open?id=1MTYlMs3GmipZosYx6GWFFVRMNXdwaHKD</t>
  </si>
  <si>
    <t>https://drive.google.com/open?id=1QuOS4fhRCD9X8D-C1Nd6NUK4ldRlq3Tl</t>
  </si>
  <si>
    <t>https://drive.google.com/open?id=1cmcnlxBmtxENY3V-yBDI1v--ZV40VrmL</t>
  </si>
  <si>
    <t>085707747321, 085707747270, 085707747339</t>
  </si>
  <si>
    <t>https://drive.google.com/open?id=10gNEhy3sljVx5wn4uAZPNSpA3Xc3gKMK</t>
  </si>
  <si>
    <t>https://drive.google.com/open?id=1uMOfnHSNWOz6XXRRi1G1efZB6X-Nqy_F</t>
  </si>
  <si>
    <t>https://drive.google.com/open?id=1MGuRZ2csLXYh4pVdtU7DL6GmXJNOJcYm</t>
  </si>
  <si>
    <t>085707747206,  085707747801</t>
  </si>
  <si>
    <t>https://drive.google.com/open?id=1Z_WY_TkUEhHCQl4lef3p5wJLsVF63j_M</t>
  </si>
  <si>
    <t>https://drive.google.com/open?id=1m097LVQG6F4nO2MT2IaY4SNa_KfiFy5_</t>
  </si>
  <si>
    <t>https://drive.google.com/open?id=1SAaDbBV2DepEeFtmvhgHFzQpKoGux3T-</t>
  </si>
  <si>
    <t>085707747739,  085707747208</t>
  </si>
  <si>
    <t>https://drive.google.com/open?id=1qd2Nhy04_2h1g1VAZS_W8DigSUMvr7N_</t>
  </si>
  <si>
    <t>M Mikail Azka (Kaka)</t>
  </si>
  <si>
    <t>Amos Cell</t>
  </si>
  <si>
    <t>https://drive.google.com/open?id=1wkD-UWKYgrYhkKQPQ9K42qVUdTgUPU_w</t>
  </si>
  <si>
    <t>https://drive.google.com/open?id=1zcHwzMPJYbga1BCJk72a9Vr9P_WWULIy</t>
  </si>
  <si>
    <t>https://drive.google.com/open?id=1KgYOaGUkbeDmFndABdxNOWxNgG8G6d7R</t>
  </si>
  <si>
    <t>https://drive.google.com/open?id=1Gp9bTdevxY54eo8x7_jQJKDbod84SfIm</t>
  </si>
  <si>
    <t>https://drive.google.com/open?id=14nVOaG8Wf-Mdhlz_c6PIVJv0GCdI8ZF8</t>
  </si>
  <si>
    <t>085741170613</t>
  </si>
  <si>
    <t>081556689175, 085727359763, 085799993295, ‪085700804330‬,‪085701991846‬</t>
  </si>
  <si>
    <t>https://drive.google.com/open?id=1Hhde8xHloqtzLv-0W-MnEiggV4-hWMjJ</t>
  </si>
  <si>
    <t>https://drive.google.com/open?id=1xEP_7S1ImS1zWcVWFGkepdsV5YOcuxyL</t>
  </si>
  <si>
    <t>https://drive.google.com/open?id=1OcFUj9Tp8FpCOpyJ7XyVE7l09rpE2bO_</t>
  </si>
  <si>
    <t>https://drive.google.com/open?id=1yvG_Il5zM68pDKIsKaf9WhClZfmBjXXZ</t>
  </si>
  <si>
    <t>https://drive.google.com/open?id=1rikBbU5nYbXwrrGhWmJ4hPcJf1R3TnfF</t>
  </si>
  <si>
    <t>https://drive.google.com/open?id=1VgQe239OPHHWTwd9j5-FeMpQKn-gSOAV</t>
  </si>
  <si>
    <t>085812428755, 085812428546, 085812428602</t>
  </si>
  <si>
    <t>https://drive.google.com/open?id=1CR08cWZQYxeSHyboBYdjGODVnq-0dj9d</t>
  </si>
  <si>
    <t>https://drive.google.com/open?id=1EQublzc7LBgMdzbtbQUVrZdsy83NVlTq</t>
  </si>
  <si>
    <t>https://drive.google.com/open?id=1C8O-MquPofYw2X8mLt4D8XAC35GJUzT7</t>
  </si>
  <si>
    <t>085812428774, 085812428775, 085812428764,085812428688, 085812428763,085812428705</t>
  </si>
  <si>
    <t>085729204111,085700009120, 085731200066‬,‪085740306663</t>
  </si>
  <si>
    <t>https://drive.google.com/open?id=1rm1syms9OyA3WVK-EXHBNC-vDBscdHTv</t>
  </si>
  <si>
    <t>https://drive.google.com/open?id=1XVyLD72oNv9N61aOJa41exxawoUf_qPf</t>
  </si>
  <si>
    <t>https://drive.google.com/open?id=1c73j7W5SUff25lbIaS5XdKv9_hs8JLAd</t>
  </si>
  <si>
    <t>085878286483,‪085868483582‬,‪085793330752‬</t>
  </si>
  <si>
    <t>https://drive.google.com/open?id=1YyVmSCWJU51I9iPDVeU2hNXd6L1JftWA</t>
  </si>
  <si>
    <t>https://drive.google.com/open?id=1-yQRxNEIkts4CN4P2oVTj_AFPmTjehjP</t>
  </si>
  <si>
    <t>https://drive.google.com/open?id=1rby0zQi2AsrE1FaiNjWMqcTS4hd3KgOZ</t>
  </si>
  <si>
    <t>085799969686‬,085646913455,085793330752‬</t>
  </si>
  <si>
    <t>‪085743489766‬,085729818109 085753852005,085726111209</t>
  </si>
  <si>
    <t>https://drive.google.com/open?id=1lqcGEwOf2AaZzeWLkY0Laod0WtOKTWUL</t>
  </si>
  <si>
    <t>https://drive.google.com/open?id=19McwleiiPtHKEmF_u1Rp-sCdskRiS_Tt</t>
  </si>
  <si>
    <t>https://drive.google.com/open?id=1_axh8RdMSCe4MHIKmawedmfAEDmVT10I</t>
  </si>
  <si>
    <t>085812428671</t>
  </si>
  <si>
    <t>085729818109,‪085842908467‬,‪085812383603‬</t>
  </si>
  <si>
    <t>https://drive.google.com/open?id=1ThX6NakAj4HUCQEoXloyZGIIDhEE53Y8</t>
  </si>
  <si>
    <t>https://drive.google.com/open?id=1T-mJOUCktA_9FQAeN5OpDBxz7oFpgqUo</t>
  </si>
  <si>
    <t>https://drive.google.com/open?id=1QzxDtEjxXaSompp91QEVg08XGVYH79IJ</t>
  </si>
  <si>
    <t>https://drive.google.com/open?id=1jRXVacmhTJmnk6sL25gyT7uKTQr5lFkn</t>
  </si>
  <si>
    <t>https://drive.google.com/open?id=1SbnPNPziakaSq0xGgjbiL7FSScEIDeGV</t>
  </si>
  <si>
    <t>https://drive.google.com/open?id=1HLkPR2GYp5jEf6uTDp8Fkh4gHjKMaWT4</t>
  </si>
  <si>
    <t>https://drive.google.com/open?id=1y9dMzBbC6sB7xfOAkkcyZVClWC4LDWbB</t>
  </si>
  <si>
    <t>https://drive.google.com/open?id=12fIWKEoel87dmu35og3vB-f0q5eVhxBz</t>
  </si>
  <si>
    <t>https://drive.google.com/open?id=1yznyY8L_XC3r2pVJSMshMEaZKMjrqqJd</t>
  </si>
  <si>
    <t>https://drive.google.com/open?id=1J4IXSpSspFhvwCMcT1B2YKeDRCNw_CjD</t>
  </si>
  <si>
    <t>Amos</t>
  </si>
  <si>
    <t>https://drive.google.com/open?id=1b2Ydf2R7x-8PMzsHXiSLxtxXKI8VK6hU</t>
  </si>
  <si>
    <t>https://drive.google.com/open?id=1g-1ulI3eSrZVAlOBCC1yU0AHoHADtEzd</t>
  </si>
  <si>
    <t>0895326372978,089519326518,0895422947337,085799993295,‪085848640405‬</t>
  </si>
  <si>
    <t>https://drive.google.com/open?id=1kz7cz9A0deUYpdzZrgvkgiuiJpTtGYPl</t>
  </si>
  <si>
    <t>Putra Voucher</t>
  </si>
  <si>
    <t>https://drive.google.com/open?id=1tF7ij7t2z_ZTXKbMUfI43N30LxJOXXUx</t>
  </si>
  <si>
    <t>https://drive.google.com/open?id=1RxTJcH_Bc7CD6czVbMh0RtPZcLPHK8fa</t>
  </si>
  <si>
    <t>https://drive.google.com/open?id=10xwDg880Mt-saIF-4KLuy3FwQQufIe4-</t>
  </si>
  <si>
    <t>Miranda Putri Patrisia</t>
  </si>
  <si>
    <t>Nirmala Cell</t>
  </si>
  <si>
    <t>https://drive.google.com/open?id=1H4od1g1GlsJJ-DEx6vQ5DZg7JJZ00weZ</t>
  </si>
  <si>
    <t>https://drive.google.com/open?id=1-DJ-ZaTVXQkhr5gtLADrpXNz7v0CGORS</t>
  </si>
  <si>
    <t>https://drive.google.com/open?id=1Xf6XYsFvmtF1sL4eJcyTEZvzX02dVNZx</t>
  </si>
  <si>
    <t>Miranda putri patrisia</t>
  </si>
  <si>
    <t>https://drive.google.com/open?id=1vfGwj5gZYDgpF13WT1G9h4k4ysf1uv24</t>
  </si>
  <si>
    <t>https://drive.google.com/open?id=1hDxp0ul9c3PybLChqBfcKex4Zfr9D1CL</t>
  </si>
  <si>
    <t>1. 085601243485, 2. 085601243413</t>
  </si>
  <si>
    <t>https://drive.google.com/open?id=1CY0Jl9yD4nC4n32-8mIuoYLha5WMSqoy</t>
  </si>
  <si>
    <t>Nirmalla cell</t>
  </si>
  <si>
    <t>https://drive.google.com/open?id=1lt6t7j3jZYA0_KvOp4guzXWSRFYd9Ssp</t>
  </si>
  <si>
    <t>https://drive.google.com/open?id=1ONifGI4VD0UYp60BusXzfW55_MFlYyEQ</t>
  </si>
  <si>
    <t>1. (085601243482) 2. (085707523278)</t>
  </si>
  <si>
    <t>085601243465</t>
  </si>
  <si>
    <t>https://drive.google.com/open?id=1k0bLrsGM0GVpueQWABF_2IcYqyZtKsu-</t>
  </si>
  <si>
    <t>Nirmala cell</t>
  </si>
  <si>
    <t>https://drive.google.com/open?id=1M9hnCJQ4s9Pjp5eeXIeCgjBSEsCoTprF</t>
  </si>
  <si>
    <t>https://drive.google.com/open?id=1ORhzFGDtTNYRUAvj8L6McGs6R80FtwT5</t>
  </si>
  <si>
    <t>085739074250</t>
  </si>
  <si>
    <t>https://drive.google.com/open?id=1OaM2RA3xeQkSLU782CQoB8decsTxSM1h</t>
  </si>
  <si>
    <t>https://drive.google.com/open?id=1Hmia61S0gTJtGrc14MRiHNMcdcF77hoq</t>
  </si>
  <si>
    <t>https://drive.google.com/open?id=1Ot-bfhFAofGtKoB81UcBtQi5AARs3qMz</t>
  </si>
  <si>
    <t>1.(08973875431) 2.(081515528723)</t>
  </si>
  <si>
    <t>https://drive.google.com/open?id=1sDI9ueIsEh2QAMQ69PqPdDonjx-G8J8Y</t>
  </si>
  <si>
    <t>https://drive.google.com/open?id=1FGU6xHOLUtuUMd5WBkFe9cvLxfMupdrw</t>
  </si>
  <si>
    <t>https://drive.google.com/open?id=1Ov3HKYjW7VPTseA2FQMZzdY2e7WLN2sH</t>
  </si>
  <si>
    <t>085641118248</t>
  </si>
  <si>
    <t>https://drive.google.com/open?id=1jPXDekAJ6q-1rnaMB8ekLjBh5nYE0rDI</t>
  </si>
  <si>
    <t>https://drive.google.com/open?id=1TfG1hBZsEOyVYYIR-bnqs1CQHxpI-ttR</t>
  </si>
  <si>
    <t>https://drive.google.com/open?id=1CnVrIsN2KEEO_S9GnywP0xLP4aTaEa9q</t>
  </si>
  <si>
    <t>https://drive.google.com/open?id=1cibqw3-Fk3cRFLQ0pkOaY1XFONl9NBee</t>
  </si>
  <si>
    <t xml:space="preserve">Natalia Rizki Aria Wijaya </t>
  </si>
  <si>
    <t>Malioboro</t>
  </si>
  <si>
    <t>https://drive.google.com/open?id=1jkYo2QhN7ndUBsVWMZR4KFE4RYtHN871</t>
  </si>
  <si>
    <t>085842036592</t>
  </si>
  <si>
    <t>https://drive.google.com/open?id=1H84hRhI_0_3A1WoenSqYHopUQJd_AJ2d</t>
  </si>
  <si>
    <t>Edgar cell</t>
  </si>
  <si>
    <t>https://drive.google.com/open?id=1GxNktriFJgB0856lHWPju0UVF9jUQ-f3</t>
  </si>
  <si>
    <t>https://drive.google.com/open?id=1y6ZTDZslf5pTKKI6RFBx-WW-59Uidvqy</t>
  </si>
  <si>
    <t>085842036576</t>
  </si>
  <si>
    <t>https://drive.google.com/open?id=1jbhJutbXC05FrQkkPWtNGMl7tdSBfXmc</t>
  </si>
  <si>
    <t>Altar</t>
  </si>
  <si>
    <t>https://drive.google.com/open?id=1jFyg2p5XYllDeik3eV6FxZZjhFtYfd_f</t>
  </si>
  <si>
    <t>https://drive.google.com/open?id=16_Eh7qHQOb5jbZEZ1_NWoY6Ti5Tyyr8c</t>
  </si>
  <si>
    <t>085842036577</t>
  </si>
  <si>
    <t>https://drive.google.com/open?id=1ZSjhobe4hlbpeHooR6utIztV8us6CVqX</t>
  </si>
  <si>
    <t>Kampus ISI &amp; Kampus PGRI</t>
  </si>
  <si>
    <t>https://drive.google.com/open?id=1Dy-QlArYOZj2QW5j7f8mvid2pCVf7NHe</t>
  </si>
  <si>
    <t>https://drive.google.com/open?id=1StgZ6fk7Jau3-NSBMEWGIOkK_nLXEIOd</t>
  </si>
  <si>
    <t>https://drive.google.com/open?id=1XRMYOjditJeIeyl0284_0yPMRJLJvYUG</t>
  </si>
  <si>
    <t xml:space="preserve">Malioboro </t>
  </si>
  <si>
    <t>https://drive.google.com/open?id=1hj1WHohz66ypWjLikVWqmnoOioA2lBl1</t>
  </si>
  <si>
    <t>https://drive.google.com/open?id=1mb5tMreNbFG_LAz5lYQ1LLckWuxkClhx</t>
  </si>
  <si>
    <t>https://drive.google.com/open?id=1fiuldyZTqKZ99vMstFip89Uu-kyJz2VS</t>
  </si>
  <si>
    <t xml:space="preserve">Kampus ISI </t>
  </si>
  <si>
    <t>https://drive.google.com/open?id=1Sa6YoJAMDIrjKLUMptEHCb6MWb5LKASo</t>
  </si>
  <si>
    <t>https://drive.google.com/open?id=1fw_RBuTSP5dgCxouqoefolt5akOG72lh</t>
  </si>
  <si>
    <t>085842036539</t>
  </si>
  <si>
    <t>https://drive.google.com/open?id=1p8NL12gvj_u9ruTtV4BjJut4_9s6szW-</t>
  </si>
  <si>
    <t xml:space="preserve">Kampus UAD </t>
  </si>
  <si>
    <t>https://drive.google.com/open?id=1_g1kmed52bzszacDhMDqYYJ7Vvw-jwDk</t>
  </si>
  <si>
    <t>https://drive.google.com/open?id=163AI-pl8wT4lMqQMK7RZhgRdIn-ibIhj</t>
  </si>
  <si>
    <t>085842036577  085712158704</t>
  </si>
  <si>
    <t>https://drive.google.com/open?id=1b0fOhD5sG6x8weDWj2THFiYzcM6sdVdg</t>
  </si>
  <si>
    <t>Kampus PGRI</t>
  </si>
  <si>
    <t>https://drive.google.com/open?id=1vMWaK3lMiqPHz6WpbiCj087idn4URj-b</t>
  </si>
  <si>
    <t>https://drive.google.com/open?id=1MeFDWqg4u4Du8PHLDrpNAJnx6HTZ202s</t>
  </si>
  <si>
    <t>https://drive.google.com/open?id=1nykUK4p-aS9XjUF1uPZEa7A9nSpfF1AN</t>
  </si>
  <si>
    <t>https://drive.google.com/open?id=1xZQ784S2xRvm6Ipgk3SdQUjAXZCFIo6l</t>
  </si>
  <si>
    <t>https://drive.google.com/open?id=11wFOEjuDb6n8NI4eX_q4n-wLWEQTYno1</t>
  </si>
  <si>
    <t xml:space="preserve">085712160103 085712160128 085712233 085712233837085712233829 </t>
  </si>
  <si>
    <t>https://drive.google.com/open?id=1aOCE4P4XYX30LiAXE4GHzTu_tr5cKAVk</t>
  </si>
  <si>
    <t>https://drive.google.com/open?id=19dcKNloRPhdTPKeX8XwBYzQZz7HejNAQ</t>
  </si>
  <si>
    <t>https://drive.google.com/open?id=1MNFCLrLwp-UWbFJEysrBUzQmYt8__2Tl</t>
  </si>
  <si>
    <t>085712233829 085712233837 085712233855 085712160128 085712160103</t>
  </si>
  <si>
    <t>https://drive.google.com/open?id=12vrUxqce0xl675rNDf7hoWUeNXAVsMao</t>
  </si>
  <si>
    <t xml:space="preserve">XT Square </t>
  </si>
  <si>
    <t>https://drive.google.com/open?id=1kgPjhSjVDLMKGxinkx38YElMoNMw2j1g</t>
  </si>
  <si>
    <t>https://drive.google.com/open?id=1hWBXiXWmdLsYMYVBjqVTGG0Ygq-ei2wB</t>
  </si>
  <si>
    <t>085842036539 085712159653</t>
  </si>
  <si>
    <t>https://drive.google.com/open?id=1_rcQF5AvQnXc4hlUUmsOvkSlWZ8YkpVH</t>
  </si>
  <si>
    <t xml:space="preserve">Kampus PGRI </t>
  </si>
  <si>
    <t>https://drive.google.com/open?id=16s9oMZXEkw7nApYH7n8DE5sP44A38TA3</t>
  </si>
  <si>
    <t>https://drive.google.com/open?id=1OPxMeXoOQ26JKHQlFGHYzFgPgRfchvUs</t>
  </si>
  <si>
    <t>085712234506 085712235481</t>
  </si>
  <si>
    <t>https://drive.google.com/open?id=1s7c3X3qxnKaF4q4ba3O_uvi5rah8fZO3</t>
  </si>
  <si>
    <t>NEHA NAURA HERWIN</t>
  </si>
  <si>
    <t>Nafiri pom</t>
  </si>
  <si>
    <t>https://drive.google.com/open?id=1TdauXtm0wwPzqLnWA_So2NbsnwgCW33J</t>
  </si>
  <si>
    <t>https://drive.google.com/open?id=1dWv_s9hWsTjKOIsU24MjgudG6riF0w_K</t>
  </si>
  <si>
    <t>085643856478</t>
  </si>
  <si>
    <t xml:space="preserve">085603472060, 0895342284435, 089687572382, 085643856478, </t>
  </si>
  <si>
    <t>https://drive.google.com/open?id=1hX0fn0IoCFzmi9WGRYWyMouh94_kos_C</t>
  </si>
  <si>
    <t>nafiri pom</t>
  </si>
  <si>
    <t>https://drive.google.com/open?id=1PBLYzyfsjWgaMO1J7ABKFPQiMLPm8Sc0</t>
  </si>
  <si>
    <t>https://drive.google.com/open?id=1SkqhVpGvve4yjmeBkWVI0RcdF4s6OLvQ</t>
  </si>
  <si>
    <t>085842015862</t>
  </si>
  <si>
    <t>085865947480, 085800110310, 081545617620, 081575497466</t>
  </si>
  <si>
    <t>https://drive.google.com/open?id=1uMO7r6xbEpM71p-jC4QtfIwRxUwDnO2Y</t>
  </si>
  <si>
    <t>https://drive.google.com/open?id=1LCFjfwP8etb19BDDuCEoq1Z5gUJPpKm-</t>
  </si>
  <si>
    <t>https://drive.google.com/open?id=1lRwtKvPQX3cfYlhGnB3hHfW4ELFStGdy</t>
  </si>
  <si>
    <t>085842015504, 085842015869, 085791173153, 085791173152, 085842015960, 085842015964, 085752024452, 085842015966, 0858702171538, 085842015927, 08157683435, 085842015923, 085842015980, 085842015272, 085652233575, 085842015499, 085878600507, 0859653943807, 0895341126981, 085842015977</t>
  </si>
  <si>
    <t>https://drive.google.com/open?id=17v10QCZFMZY-TApGx5xQYvofa1MOdKCF</t>
  </si>
  <si>
    <t>https://drive.google.com/open?id=1Zfm1idkueo7EjdBQb1kxqA8crhBjnWIT</t>
  </si>
  <si>
    <t>https://drive.google.com/open?id=18eLc4UR057W5ABdk5HJAQaHeI1ZcwuqX</t>
  </si>
  <si>
    <t>081529410757, 085801223458</t>
  </si>
  <si>
    <t>085643445438, 08580408627, 085640738698</t>
  </si>
  <si>
    <t>https://drive.google.com/open?id=1YyU2HxL4V0evhw0H1fvyqRG2QwrPIDau</t>
  </si>
  <si>
    <t>https://drive.google.com/open?id=1K4unIUXUM3g4MlQ0SvZfn4fMZfJQf8oj</t>
  </si>
  <si>
    <t>https://drive.google.com/open?id=1lSTFr3zUdZGhWBgfJC_lnSHzFcVmXZbP</t>
  </si>
  <si>
    <t>081529436156, 081529436162</t>
  </si>
  <si>
    <t>085606598298, 085747772350, 085600258240, 085829168163, 081575713229</t>
  </si>
  <si>
    <t>https://drive.google.com/open?id=1IictuntbBLnEJd7JyymnbZkqcHWexgXI</t>
  </si>
  <si>
    <t>hi bizz</t>
  </si>
  <si>
    <t>https://drive.google.com/open?id=1oOeqqabkOuHMaVcW-XBgfa1fNaE4o5CP</t>
  </si>
  <si>
    <t>https://drive.google.com/open?id=1Zx7pUsLYJ2VF7tvMlg8HK6ddXxoi7kYO</t>
  </si>
  <si>
    <t>https://drive.google.com/open?id=1vju1mTXzs1bTlDb55Qe75XKzif4wCWNx</t>
  </si>
  <si>
    <t>nafiri</t>
  </si>
  <si>
    <t>https://drive.google.com/open?id=1_BPrOZRa_xKUwCT48Bh7P6kGo58glTGR</t>
  </si>
  <si>
    <t>https://drive.google.com/open?id=15V0nrPjy7rpQhfV1rjiOQCECiu-aPBuD</t>
  </si>
  <si>
    <t>08542015576, 08584201408, 085842015645, 0895635043863, 085842015633, 085842015587</t>
  </si>
  <si>
    <t>085726794462, 085702270637, 085876389012, 0857420352122, 0895360261743, 089654634050, 085702211158, 085786093248</t>
  </si>
  <si>
    <t>https://drive.google.com/open?id=1Y3MeLUU6Re9CLPklOX1d2CItL0m9ZNNl</t>
  </si>
  <si>
    <t>Ni Kadek Novik Resya Putri</t>
  </si>
  <si>
    <t>Tuedi cell</t>
  </si>
  <si>
    <t>https://drive.google.com/open?id=1adPIWy4P222K2XIzySLt7S_39-3dk9cb</t>
  </si>
  <si>
    <t>https://drive.google.com/open?id=197lb0VorMojZ09FpveSiLgWqI713a1_b</t>
  </si>
  <si>
    <t>1.085743486337, 2. 085738548876</t>
  </si>
  <si>
    <t>https://drive.google.com/open?id=1qKtxoRQuDPmAhgSBSXW0wbIdZcKE5bZN</t>
  </si>
  <si>
    <t>Nia Febriyanti</t>
  </si>
  <si>
    <t>SKA CELL</t>
  </si>
  <si>
    <t>https://drive.google.com/open?id=18RRYdLBvhlWL_Lf06b_NeKywC9-8wTm5</t>
  </si>
  <si>
    <t>https://drive.google.com/open?id=1k1NjXQwyThnkXMAWAdUeOHARG3GmABTm</t>
  </si>
  <si>
    <t>085799930302, 085738039337</t>
  </si>
  <si>
    <t>https://drive.google.com/open?id=1DA8flefHZT_Hegtb-qLI-zS5GSA7n3a5</t>
  </si>
  <si>
    <t>https://drive.google.com/open?id=1y1lc7OHTM4RrlAR0xsbErS18P8nytwmV</t>
  </si>
  <si>
    <t>https://drive.google.com/open?id=1-_XLkJn3va2s7Sm4FpLEqzMBCZlSyTPv</t>
  </si>
  <si>
    <t xml:space="preserve">085738039363, 085738039362, 085738039348 ,085738039347 </t>
  </si>
  <si>
    <t>https://drive.google.com/open?id=1o6MKVFmvmPOwXwc2P0teuzdg1KR-cHaP</t>
  </si>
  <si>
    <t>Nia febriyanti</t>
  </si>
  <si>
    <t>https://drive.google.com/open?id=1uLeEwuImIRrX6KQSP5QpdW6KsZd5PvHC</t>
  </si>
  <si>
    <t>https://drive.google.com/open?id=1dAnCVZ50dpWn3GDat0KlHpGzfRwsB-n5</t>
  </si>
  <si>
    <t>085738039335, 085738039334</t>
  </si>
  <si>
    <t>https://drive.google.com/open?id=1bTArrXPzgNMz4DrPs1pT6Dx9wpN08Thh</t>
  </si>
  <si>
    <t>SKA Cell</t>
  </si>
  <si>
    <t>https://drive.google.com/open?id=1ip9sMrzm1JjbO-QrLlYZ0AWREuKWliG8</t>
  </si>
  <si>
    <t>https://drive.google.com/open?id=1-CpygJqzSXtKIPswkZBz0XOhYFrJal4r</t>
  </si>
  <si>
    <t>085738039331 085738039338 085738039332 085738039341 085738039352 085738039329</t>
  </si>
  <si>
    <t>https://drive.google.com/open?id=1LT4OI8p8fXl15M_3CBy0Wu91KjJ_6sLj</t>
  </si>
  <si>
    <t>https://drive.google.com/open?id=1C-56CBwjPEUmFitoXM7STYjqXbupa1vZ</t>
  </si>
  <si>
    <t>https://drive.google.com/open?id=1y-AQzT3tAIsBuQldHDEJKQYqTLuY2XM6</t>
  </si>
  <si>
    <t>085738039357 , 085738039355 , 085738039354,08573803942 ,085738047669</t>
  </si>
  <si>
    <t>https://drive.google.com/open?id=1aNfD68g5QwnDY0V7aDqPv_PQ7LRIicO-</t>
  </si>
  <si>
    <t>https://drive.google.com/open?id=1KZtBbuCqwranFZtAi-PpQwsQokmEy86F</t>
  </si>
  <si>
    <t>https://drive.google.com/open?id=1VA0-ufVy4ocKpkmFpUGPvdhUKqgaJ5FC</t>
  </si>
  <si>
    <t>085738039344, 085738039328, 085738039336085738047671</t>
  </si>
  <si>
    <t>https://drive.google.com/open?id=1_pELk2f_WIrq8qo0dGFnSw-02PvOrlng</t>
  </si>
  <si>
    <t>ska cell</t>
  </si>
  <si>
    <t>https://drive.google.com/open?id=10ilJCoPwnOkzi5I3oYzh32-1AgKNpuzc</t>
  </si>
  <si>
    <t>https://drive.google.com/open?id=1734qkASzAXnmBnVw5QwEgNPnbqAXgrle</t>
  </si>
  <si>
    <t>085738039362, 085738047670, 085738047673, 085738047668</t>
  </si>
  <si>
    <t>https://drive.google.com/open?id=1yf7_uhy5YlvL_PBJ_DFwc2O2aFaEAszm</t>
  </si>
  <si>
    <t>https://drive.google.com/open?id=1Ldjo9UP_ODjtqO4bg9scVGqXO47eUz24</t>
  </si>
  <si>
    <t>https://drive.google.com/open?id=1A8nU_MBSkasSlGJGiyE34DhJ9pRa8XTp</t>
  </si>
  <si>
    <t>085738047717, 085738047718, 085738047713,085738047714</t>
  </si>
  <si>
    <t>https://drive.google.com/open?id=1WTY6b8XTZcEsYU6CY3KRa_Bn1wFCr29x</t>
  </si>
  <si>
    <t>Ska cell</t>
  </si>
  <si>
    <t>https://drive.google.com/open?id=1zcjgkdBHZIzDRcN4L-ryCk69hw2hcfhq</t>
  </si>
  <si>
    <t>https://drive.google.com/open?id=1Af3FaUrIr5twGF65XyP9gRInPnhCuyZW</t>
  </si>
  <si>
    <t>085738047715, 085738047716, 085712158768, 085712158757</t>
  </si>
  <si>
    <t>https://drive.google.com/open?id=1xDCP4Idm-JdOBmwkw5Ud9Bew6d8snO1a</t>
  </si>
  <si>
    <t>https://drive.google.com/open?id=17G4T_whLfXJPEYyzK3_LPY0PkD0Pj9oJ</t>
  </si>
  <si>
    <t>https://drive.google.com/open?id=1-Yd4hNnL08jUDbd6UV30KU671kRtCl84</t>
  </si>
  <si>
    <t>085712235076, 085712159910, 085812235100, 085812235035,085812235097</t>
  </si>
  <si>
    <t>https://drive.google.com/open?id=10FHk7j3iTE7cpz_FL3hTKadlXkG31CLa</t>
  </si>
  <si>
    <t>https://drive.google.com/open?id=1Jtjxa90yuM_TvNXKVhl3oww33tAh9PHZ</t>
  </si>
  <si>
    <t>https://drive.google.com/open?id=1GOsIABi-C59pZIxmPJJR8qRDO5uBeB5X</t>
  </si>
  <si>
    <t>085712158816, 085712234634</t>
  </si>
  <si>
    <t>https://drive.google.com/open?id=1zFuZP2O6pHQxv1u2lTP75AWZK7zy5Uvc</t>
  </si>
  <si>
    <t>DNA UMY</t>
  </si>
  <si>
    <t>https://drive.google.com/open?id=1spXShw1SpqcHamu2gbAignj4_8cmLyWm</t>
  </si>
  <si>
    <t>https://drive.google.com/open?id=1lL85nVhMYLhIgKtxtUYfkunjC4-oI2AV</t>
  </si>
  <si>
    <t>085712158784</t>
  </si>
  <si>
    <t>https://drive.google.com/open?id=1vDnh2J1Io7RMBIOVnWbS93dFA1u-6YRC</t>
  </si>
  <si>
    <t>NOOR ROOFI JUNMANTINI</t>
  </si>
  <si>
    <t>Hibizz</t>
  </si>
  <si>
    <t>https://drive.google.com/open?id=1B4DHKbPJE9C6tW9pIJsixQ0zWuXFhses</t>
  </si>
  <si>
    <t>https://drive.google.com/open?id=1dUKVO73oTaG8HCfpcs02MYzRYUM-NsZD</t>
  </si>
  <si>
    <t>085842015859</t>
  </si>
  <si>
    <t>https://drive.google.com/open?id=1bxC_fHi9drCz78bDjtTYw3g8c3XLUqRt</t>
  </si>
  <si>
    <t>https://drive.google.com/open?id=1GIIrUx96N-T5rHcDNH7Q8qKJb8oIzoYw</t>
  </si>
  <si>
    <t>https://drive.google.com/open?id=1zE6FWud1IW9_iMbx7hBFoNj1PlXhmxIM</t>
  </si>
  <si>
    <t>https://drive.google.com/open?id=11YKxTSeyxuC1_ulwhgu4n17Bf4SJXix5</t>
  </si>
  <si>
    <t>https://drive.google.com/open?id=1sLCRcPDXKngJN9GTg0P_fZWSkJAe34Tu</t>
  </si>
  <si>
    <t>https://drive.google.com/open?id=1uWoUBFA9EN5ZFeGo4iQVWPIy0FXhPQZ6</t>
  </si>
  <si>
    <t>https://drive.google.com/open?id=1GFuing3k5k5CzdDW3lHRw1dYdhAoX1Tr</t>
  </si>
  <si>
    <t>https://drive.google.com/open?id=1uY6Iu7Q6x8SQG_rxrlVca6Bzcu2c4t8Y</t>
  </si>
  <si>
    <t>https://drive.google.com/open?id=1kJli75UXir3-lHrsjm3H7xtfBWAyGQbc</t>
  </si>
  <si>
    <t>085741709397, 085741709395,085741709357,085741709358,085741709398</t>
  </si>
  <si>
    <t>https://drive.google.com/open?id=19jc7aoGpS_q3IYFuXf-U0EVdlIgHnpEG</t>
  </si>
  <si>
    <t>https://drive.google.com/open?id=1XfCjRxVftK_exqoasZyGZwX5aPMPpNjx</t>
  </si>
  <si>
    <t>https://drive.google.com/open?id=1ToHOS2OczGqn61_ZRl4qatL2205Lrwr_</t>
  </si>
  <si>
    <t>https://drive.google.com/open?id=1nDOnwoGcpOddJmYhDQ08hstZgFLP-poD</t>
  </si>
  <si>
    <t>https://drive.google.com/open?id=1eWfOu-95LpV5pNEUsV1_T9LtzuJTaMXF</t>
  </si>
  <si>
    <t>https://drive.google.com/open?id=1BFYRW3IbDwH5kVD3V9rjQOmShw0f4tYv</t>
  </si>
  <si>
    <t>https://drive.google.com/open?id=1VDcw452Si_C5stLOiaMkHd_uqzPCA8AT</t>
  </si>
  <si>
    <t>https://drive.google.com/open?id=10FbUv1CaINn_muNZcWzu0QK58Pbt18jZ</t>
  </si>
  <si>
    <t>https://drive.google.com/open?id=130Fv7yHovOv5GdZ5QwjIzRx6YxKat6bY</t>
  </si>
  <si>
    <t>https://drive.google.com/open?id=1HTJOaiUYi28TZiYyFSR8hwLzrIx5SYsq</t>
  </si>
  <si>
    <t>https://drive.google.com/open?id=1WWDxuKvhMcjwgll_va2lDHggWaf03a11</t>
  </si>
  <si>
    <t>https://drive.google.com/open?id=1bMg7TeNKjZGKGbDVet6j66bbSVALAGaS</t>
  </si>
  <si>
    <t>https://drive.google.com/open?id=1lWw7kEUHID-ctw6VNqc4rcrFSKdPDqzN</t>
  </si>
  <si>
    <t>Nurul Hidayah</t>
  </si>
  <si>
    <t>Graha Komunika</t>
  </si>
  <si>
    <t>https://drive.google.com/open?id=1omrhKyIFBNKWsZ9SiGeYnHlX4cUEovhB</t>
  </si>
  <si>
    <t>https://drive.google.com/open?id=1P-waVoCUtsRH10WCbsEQuuSdmeQa286Y</t>
  </si>
  <si>
    <t>085645097434, 085600910705, 2001408005999, 085600910705, 200149050120  maaf beberapa cust tidak bawa hp dan tidak hafal nomor, jadi saya input kartu seri dari voucher nya</t>
  </si>
  <si>
    <t>https://drive.google.com/open?id=11hOp3PEsH4wt6DeLb0eprWJclFkdk97G</t>
  </si>
  <si>
    <t xml:space="preserve">Graha Komunika </t>
  </si>
  <si>
    <t>https://drive.google.com/open?id=1QVIJ5RM4kzYlN81w2NvzExq4oY38ud9Z</t>
  </si>
  <si>
    <t>https://drive.google.com/open?id=1vOUXe8a8H-gTnlMIs2hencaVCLD5rq7n</t>
  </si>
  <si>
    <t>081529411995, 085812427885, 085812427768</t>
  </si>
  <si>
    <t>085802638984, 085875085551, 085702750945, 085879558121, 085848454908, 085803440125, 085643063749, 085800647040, 085725445439, 08562693131</t>
  </si>
  <si>
    <t>https://drive.google.com/open?id=1mk8bUE5oPhfoQhkzBmdZG8QDk3L0ia_x</t>
  </si>
  <si>
    <t>HI-BIZZ</t>
  </si>
  <si>
    <t>https://drive.google.com/open?id=1SHX8-b1kCiHHzx6smEk6fSI3w3mQVEyq</t>
  </si>
  <si>
    <t>https://drive.google.com/open?id=1EcGqp8pcbO_97mT74Dbfanouf7J942OF</t>
  </si>
  <si>
    <t xml:space="preserve">Event Seminar kampus Polines </t>
  </si>
  <si>
    <t>https://drive.google.com/open?id=1jLHBcETYUYLRW_KSzxooX1_gTLnMOb_x</t>
  </si>
  <si>
    <t>https://drive.google.com/open?id=14Nil7C_48jvprgSz-uGReueLnh62CTjL</t>
  </si>
  <si>
    <t>085812428624, 085812428604, 085812428607 ,085812428601,085812428575, 085812428571,085812428583, 085812428572</t>
  </si>
  <si>
    <t>https://drive.google.com/open?id=1iHv9OvWmtLF18D9vFJLY0UKiIYimNeRN</t>
  </si>
  <si>
    <t>Mitra Cell</t>
  </si>
  <si>
    <t>https://drive.google.com/open?id=1sJ9rgh0-wHRmhfp-rsMH0VySwsYHaadQ</t>
  </si>
  <si>
    <t>https://drive.google.com/open?id=1-_RSURHlOhLR5w0NLzFW_gNWLw8_J83l</t>
  </si>
  <si>
    <t>085812428677, 085812428708, 085812428669, 085812428661, 085812428665, 085812427756, 085812427750, 085812428662</t>
  </si>
  <si>
    <t>https://drive.google.com/open?id=1UjmU3xILJkZJZG_ia8qUsCOP6Aozuaxz</t>
  </si>
  <si>
    <t>https://drive.google.com/open?id=1GnQzfZ9KrMAZkT1xo1SZanJBYLvwG3xf</t>
  </si>
  <si>
    <t>https://drive.google.com/open?id=146OykjPRTVNufffRGooJHhrm0X01aBlo</t>
  </si>
  <si>
    <t>085812427762, 085812427764</t>
  </si>
  <si>
    <t>2001499543000, 085641898414</t>
  </si>
  <si>
    <t>https://drive.google.com/open?id=15c8HLxliT01INi0W7RXT-6_MKLu61VgI</t>
  </si>
  <si>
    <t>https://drive.google.com/open?id=18r37CPr2Yel_3I9CpNslZbuka2EAIllz</t>
  </si>
  <si>
    <t>https://drive.google.com/open?id=1qbccAb1fM95sgGRw_Th59baYdTWveasn</t>
  </si>
  <si>
    <t>085815427847</t>
  </si>
  <si>
    <t>085640229659, 089504994548, 085700935481, 085640881919, 085642215597, 085712407016, 085700501175</t>
  </si>
  <si>
    <t>https://drive.google.com/open?id=1DePGBUtgxK86JAM9M7XwKgpCdx7jTrg2</t>
  </si>
  <si>
    <t>Blitz sekitar Kampus Udinus</t>
  </si>
  <si>
    <t>https://drive.google.com/open?id=11mT6gyVOwqNo3Lri4RHfSfbtX0kl7mVh</t>
  </si>
  <si>
    <t>https://drive.google.com/open?id=1y0oQzl4HHNw8WdJj-KikAYc-RZTTNNhH</t>
  </si>
  <si>
    <t>085842015925, 085842015501, 085842015496</t>
  </si>
  <si>
    <t>https://drive.google.com/open?id=1XnJ9zQiTI9lLIe4rZAneYjAAB0bojO9W</t>
  </si>
  <si>
    <t>Event Seminar AI kampus Universitas Dian Nuswantoro (UDINUS)</t>
  </si>
  <si>
    <t>https://drive.google.com/open?id=11P0ouXCmoOYpOI7JkLsEuBd_CDoFf1LP</t>
  </si>
  <si>
    <t>https://drive.google.com/open?id=1Hlim4AHyfk0H4BweyJmYEoXEMOIfcdWv</t>
  </si>
  <si>
    <t>085842015909, 085842015504, 085842015922, 085791173154, 085791173163, 085842015271, 085842015968, 085842015860, 085842015987, 085791173136, 085791173151, 085842015502, 085842015271, 085842015971</t>
  </si>
  <si>
    <t>085876920004, 085700501175</t>
  </si>
  <si>
    <t>https://drive.google.com/open?id=1Wck4MlP7nINUSLKN93TVQshS2TvEtqIn</t>
  </si>
  <si>
    <t>https://drive.google.com/open?id=1bvpVXv_4k_5YuyGygZSQj-fjhN4JHOHm</t>
  </si>
  <si>
    <t>https://drive.google.com/open?id=1OsY2IIcH6ebGnkHjmaEuj4Zs1foaO2XH</t>
  </si>
  <si>
    <t>085812427841, 085812427842, 085812427847, 081529410669, 085842015847, 085842015866</t>
  </si>
  <si>
    <t>085759730800, 085867155825, 085741927879, 085848454908, 085692776779, 085842726636, 085641275876</t>
  </si>
  <si>
    <t>https://drive.google.com/open?id=1RZjZVXuCaAGvuBwkL6loA_WV717SbUK7</t>
  </si>
  <si>
    <t>https://drive.google.com/open?id=13Wie3_oU1v1PiX0y6eYDCNdbxDaWoVW7</t>
  </si>
  <si>
    <t>https://drive.google.com/open?id=1gvg0A9_ZsVkLdHPnrgHgaW1V7eIGUC0S</t>
  </si>
  <si>
    <t>085842726636, 085877765199, 085877765298, 081575456238, 085600816489, 085728776814</t>
  </si>
  <si>
    <t>https://drive.google.com/open?id=10kRvm8_8g5vJlHHO5roGKSwohR6PoceG</t>
  </si>
  <si>
    <t xml:space="preserve">Predika Tri Aditya </t>
  </si>
  <si>
    <t xml:space="preserve">Avoraya cell </t>
  </si>
  <si>
    <t>https://drive.google.com/open?id=1u0DsCit_zbSbQGVSZ7rtH3CH-afKM6nn</t>
  </si>
  <si>
    <t>https://drive.google.com/open?id=1SKKyXByZHZePpglPfouYHUGP63dQkUVf</t>
  </si>
  <si>
    <t>*Tidak mencatat nomornya</t>
  </si>
  <si>
    <t>https://drive.google.com/open?id=1yaE08E6nMaL4qIUeEN3G3AOlUESmkkDt</t>
  </si>
  <si>
    <t>https://drive.google.com/open?id=1wxTk2di3qSo5e4UABMu3VGlsIp4JnfUG</t>
  </si>
  <si>
    <t>https://drive.google.com/open?id=1kErfUkTie-OaKFCSCXWLoi7IL2LLj4ba</t>
  </si>
  <si>
    <t xml:space="preserve">*Tidak mencatat nomornya </t>
  </si>
  <si>
    <t>https://drive.google.com/open?id=1Hp_3rrHH-M-drKeJIXfseKMF7gLXRnKM</t>
  </si>
  <si>
    <t>https://drive.google.com/open?id=1xKUVyoRLudXmmqewF-1whIFa_xGW9ng8</t>
  </si>
  <si>
    <t>https://drive.google.com/open?id=1PK8Gkl5TEvcL_-h-FnyF1h_xp0cBsHmB</t>
  </si>
  <si>
    <t>085648980838</t>
  </si>
  <si>
    <t>https://drive.google.com/open?id=1KMTPFF_961oYdPFcjOynWSzI8_ZAWhEn</t>
  </si>
  <si>
    <t>https://drive.google.com/open?id=1oOeLP5SG--kXpbDmHz1RW6KBlhBrXvVu</t>
  </si>
  <si>
    <t>https://drive.google.com/open?id=181CSDkcbBEi5-qaIPfCWKxuGCw31ifm7</t>
  </si>
  <si>
    <t>https://drive.google.com/open?id=1CUyhDOC7bpCTtXTdWpkpB7ctMS3RBuOX</t>
  </si>
  <si>
    <t>https://drive.google.com/open?id=11tAIm6GPO-4DxL5N4AN9RDjguyHw4gZK</t>
  </si>
  <si>
    <t>https://drive.google.com/open?id=1MS4o1FddG-xVrFW_4t21xWC_Zju6QkJk</t>
  </si>
  <si>
    <t>085706808921</t>
  </si>
  <si>
    <t>Voucher tri dan im3</t>
  </si>
  <si>
    <t>https://drive.google.com/open?id=1WiF1G9rRcSIX5cj0HZitvhtDpYoxAUIo</t>
  </si>
  <si>
    <t>https://drive.google.com/open?id=1xNrhw3aQLXMBq18qxgD8MKxyAZINlGhv</t>
  </si>
  <si>
    <t>https://drive.google.com/open?id=1T4OVKlFu52sDBYrXYXx0U9o9cdTOfL6E</t>
  </si>
  <si>
    <t xml:space="preserve">Voucher </t>
  </si>
  <si>
    <t>https://drive.google.com/open?id=18YGtDLopn69FMt7j45dG4hjvUFc2Lfsc</t>
  </si>
  <si>
    <t>Putri</t>
  </si>
  <si>
    <t>https://drive.google.com/open?id=10D62Ip0XNPbCP25f2XXUZeewi6OR01Nt</t>
  </si>
  <si>
    <t>https://drive.google.com/open?id=13tuV7uWfAl-43aw_uoYSFLALJMCOB5sh</t>
  </si>
  <si>
    <t>https://drive.google.com/open?id=1-DSenWUBBNOePErhk3iRkhv4mVIagVz5</t>
  </si>
  <si>
    <t>Rafi Sabilillah</t>
  </si>
  <si>
    <t>WK CELL</t>
  </si>
  <si>
    <t>https://drive.google.com/open?id=1DPFQaCReXUTb2oF8p6Jav28IzJC6zvwK</t>
  </si>
  <si>
    <t>https://drive.google.com/open?id=1RalRWxWagiSSii4YAHLGq9PlB6UpNb8E</t>
  </si>
  <si>
    <t>085726095293, 085726136810, 085726095294, 085857712223</t>
  </si>
  <si>
    <t>085725030957, 085735328384, 085176735927</t>
  </si>
  <si>
    <t>https://drive.google.com/open?id=1kCDDI7M92M0aGNb7y_FDToUNYnJAsLDJ</t>
  </si>
  <si>
    <t>https://drive.google.com/open?id=1HiCNwCE2jVPa1wEVy_fJ0xgxvlujJw8h</t>
  </si>
  <si>
    <t>https://drive.google.com/open?id=1fUk0ZnnriT3Rgog39ZXWWKRQSZVdac0_</t>
  </si>
  <si>
    <t>085741588842, 085726136780, 085726885987</t>
  </si>
  <si>
    <t>085725340240, 085606352495, 085736057392, 085608818480, 085726096835, 085641384131, 085774500309, 089601629853, 081559820419</t>
  </si>
  <si>
    <t>https://drive.google.com/open?id=1_fzSzvYpG6590Pyt5_nP4T6KOkSoaYgF</t>
  </si>
  <si>
    <t>Rafi sabilillah</t>
  </si>
  <si>
    <t>https://drive.google.com/open?id=1vXVt9s-qhhJOK5FZx9yWbmZ0vV_Fux58</t>
  </si>
  <si>
    <t>https://drive.google.com/open?id=1U9aqtCx8JXVLrZFTsGNXpCYRC93Q6CaN</t>
  </si>
  <si>
    <t>085708085140, 0895805332356, 085736116891, 085648339773, 085784913705, 085706618626</t>
  </si>
  <si>
    <t>https://drive.google.com/open?id=15Ym6WhmBmZXBzEecSl5LNwuSJwD8mCYa</t>
  </si>
  <si>
    <t>rafi sabilillah</t>
  </si>
  <si>
    <t>wk cell</t>
  </si>
  <si>
    <t>https://drive.google.com/open?id=1ka8BOabeuehA2UE6O00jqzgiwTTl-lzo</t>
  </si>
  <si>
    <t>https://drive.google.com/open?id=1rHxtUQ6RlnhxEhoChyM0rpszwpPypBYp</t>
  </si>
  <si>
    <t>085738208594, 085875066393</t>
  </si>
  <si>
    <t>085607174881, 08983875554, 085788135085, 081615738928, 085850142742, 085895373835, 085853495770</t>
  </si>
  <si>
    <t>https://drive.google.com/open?id=16-p6i_FKzbJLH3pi-sV_RJfG8vbQp466</t>
  </si>
  <si>
    <t>https://drive.google.com/open?id=15ls9NfCTiYVSixpgyV_lCr1g7IIERCC9</t>
  </si>
  <si>
    <t>https://drive.google.com/open?id=1oddKWmqV-XxzHPf7Qergzh36UjWLRW28</t>
  </si>
  <si>
    <t>085875066364</t>
  </si>
  <si>
    <t>085792632135, 085745337242, 089530452176</t>
  </si>
  <si>
    <t>https://drive.google.com/open?id=1_yrbjzUyYaddazZBWWFzChKSRehLaJ1o</t>
  </si>
  <si>
    <t>https://drive.google.com/open?id=1aJ0G6p5OTdlelxFAjWMDxaHPWdBqa33z</t>
  </si>
  <si>
    <t>https://drive.google.com/open?id=1i0HgCuqncjtpVT-f2RSr-6jE1LEJkpYu</t>
  </si>
  <si>
    <t>085726885984</t>
  </si>
  <si>
    <t xml:space="preserve">  085738260429 (7gb) - ⁠085843969587 (50gb) - ⁠085732349373 (17gb) - ⁠085785924800 (7gb/F1) - ⁠087857247746 (5gb) - ⁠087848335416 (7gb) - ⁠089523026019 (60rb) - ⁠085792154558 (26gb/f1) - ⁠089523026019 (60rb) - ⁠089512027890 (10gb/happy) - ⁠089699900971 (7gb/happy) - ⁠085749009142 (5gb/fu) - ⁠085710222015 (48rb)</t>
  </si>
  <si>
    <t>https://drive.google.com/open?id=1mfoeNnVuPhb8PU-yx7U7wkqE26R4bl4-</t>
  </si>
  <si>
    <t>Rebeka tiara busono</t>
  </si>
  <si>
    <t>https://drive.google.com/open?id=1qrUB4FZV--RaWqHMdvQIbfObLVSYEf5w</t>
  </si>
  <si>
    <t>https://drive.google.com/open?id=1oIOUzU-6syELylsqkEmcThJ9uVPW2xQr</t>
  </si>
  <si>
    <t>085712158277</t>
  </si>
  <si>
    <t>085712158496</t>
  </si>
  <si>
    <t>https://drive.google.com/open?id=17SIi5Jp5UzgzD4hYTb8y7lAa6YrE5RKb</t>
  </si>
  <si>
    <t>https://drive.google.com/open?id=1GLZdwP8A8fBEpN0cRb1L6mZUQDaPGujT</t>
  </si>
  <si>
    <t>https://drive.google.com/open?id=14Jq2ukddK3cGk72kCGAv7BhHY8CzvEC2</t>
  </si>
  <si>
    <t>085712158468</t>
  </si>
  <si>
    <t>085712158303</t>
  </si>
  <si>
    <t>https://drive.google.com/open?id=1jc4qnTAqf2ZTNWILsFU1_upmRn_Vu7PX</t>
  </si>
  <si>
    <t xml:space="preserve">Kampus uty </t>
  </si>
  <si>
    <t>https://drive.google.com/open?id=1lr3xD_i9ASVDsvgs7U2Cmn6GouPmwB1l</t>
  </si>
  <si>
    <t>https://drive.google.com/open?id=1T8B3PX2I_1uFEFppX7_wigptfbQUNP1M</t>
  </si>
  <si>
    <t>085712255733</t>
  </si>
  <si>
    <t>085712234794</t>
  </si>
  <si>
    <t>https://drive.google.com/open?id=107OQKQAF3YvdNnZo8TC0PIQRkd0DzADB</t>
  </si>
  <si>
    <t>resita putri anggraini</t>
  </si>
  <si>
    <t>Gazwah 1</t>
  </si>
  <si>
    <t>https://drive.google.com/open?id=1s6GUwOdNGpsqHRhc7qOam7HGKILBJJK7</t>
  </si>
  <si>
    <t>https://drive.google.com/open?id=1iaSPDo6gFNYMw1FJbtLOYelTnKCyYS90</t>
  </si>
  <si>
    <t>081515123965</t>
  </si>
  <si>
    <t>https://drive.google.com/open?id=1og0HVyBGTt_S7mLDo3F6-0pAvAYNEk6y</t>
  </si>
  <si>
    <t>https://drive.google.com/open?id=17uqWj_DBpbh5UrVErzEGsfc-Ur7RZUey</t>
  </si>
  <si>
    <t>https://drive.google.com/open?id=13jLdGAYBOtmZkKdfrUqUg7LJwQLsDCy4</t>
  </si>
  <si>
    <t>https://drive.google.com/open?id=1YpALjZyFjOdBJlugOFJAxuvym0-bFSwZ</t>
  </si>
  <si>
    <t>https://drive.google.com/open?id=1wI_UO5ePZK7DSq0HOwXdu3lPDsPmFonO</t>
  </si>
  <si>
    <t>https://drive.google.com/open?id=1IdfEuXR_BGa_v0YOekh2SHz35kVIspCh</t>
  </si>
  <si>
    <t>085738684544</t>
  </si>
  <si>
    <t>https://drive.google.com/open?id=1NNYsp6vsEz_ns3RWuepMgJAM5SxTqe3n</t>
  </si>
  <si>
    <t>https://drive.google.com/open?id=1B7EB8aKC2mJQ8dhEgsprBFvIkBttr923</t>
  </si>
  <si>
    <t>https://drive.google.com/open?id=1gawbcId7aHU3dheGaZeIKWvNhwDWFiiv</t>
  </si>
  <si>
    <t>085641119044</t>
  </si>
  <si>
    <t>https://drive.google.com/open?id=1jq8IR0GdMS5p3Oz0GvqFz-qHuK3npzQh</t>
  </si>
  <si>
    <t>gazwah 1</t>
  </si>
  <si>
    <t>https://drive.google.com/open?id=1mtFsSRVneRiOYMPL5B47uW_CgmGBiMop</t>
  </si>
  <si>
    <t>https://drive.google.com/open?id=1ejIyRa-1hm0w1MhF8OTIeJrruwTQwKRb</t>
  </si>
  <si>
    <t>085641119042, 085641119045</t>
  </si>
  <si>
    <t>https://drive.google.com/open?id=1dMCY00A7Eg5Pjjnwtkvs_jEkQaRbFJTz</t>
  </si>
  <si>
    <t>https://drive.google.com/open?id=1ybL5B9ZxOiWUXl-iA-43sBq4GCnWHl-D</t>
  </si>
  <si>
    <t>https://drive.google.com/open?id=1YMvl7EzkeF8efpMl_mgQTm94yYys7FUQ</t>
  </si>
  <si>
    <t>085878086918, 085878086915</t>
  </si>
  <si>
    <t>https://drive.google.com/open?id=1t9hiYgacze6tqxT84xZ73Y1ErV4h0UVx</t>
  </si>
  <si>
    <t>https://drive.google.com/open?id=1HjOvBEscheUqCygfYpozshuZA8Utcf7h</t>
  </si>
  <si>
    <t>https://drive.google.com/open?id=1bWvnuFb7rCCiGqzGIRo4KbxKvKaTgi4L</t>
  </si>
  <si>
    <t>085878086915</t>
  </si>
  <si>
    <t>https://drive.google.com/open?id=1zhMRbWkFdv8dQMMI5gKUpDUMwJgoSsdn</t>
  </si>
  <si>
    <t>https://drive.google.com/open?id=1JJlefcwZmQYGQSIC9jsseIlEqJt3kdqR</t>
  </si>
  <si>
    <t>https://drive.google.com/open?id=1lq4Um9D2ZbDV-l5kQeoSw0L3IKBg8AvN</t>
  </si>
  <si>
    <t>https://drive.google.com/open?id=1y5CnsVsVtIqgH7VrHz9qaVwdpkGtTyYD</t>
  </si>
  <si>
    <t>Ika Prawitasari</t>
  </si>
  <si>
    <t>AGUDIA Cell</t>
  </si>
  <si>
    <t>https://drive.google.com/open?id=1BO_-MbGKSZCcBws9UBoHNR1KM8kJAxJN</t>
  </si>
  <si>
    <t>https://drive.google.com/open?id=1pxJ_dD9vDXHgRmMoq98tHC4Lrz67pm_W</t>
  </si>
  <si>
    <t>085815608952</t>
  </si>
  <si>
    <t>https://drive.google.com/open?id=1QCOfojMpYmvetN8PJGsqCeSl2uaQ_Kxb</t>
  </si>
  <si>
    <t>https://drive.google.com/open?id=15ktz0_yMNcmy0hKLIdcuab1GlHPY9sIQ</t>
  </si>
  <si>
    <t>https://drive.google.com/open?id=1V03LuSYahcwbj-Rs7bZ5nxH0bnMu-Hn_</t>
  </si>
  <si>
    <t>085726877729 - 085726877739 - 085726877737</t>
  </si>
  <si>
    <t>https://drive.google.com/open?id=1VgdpTEsTaZU4F16H8tVN3vesDVg6OGeU</t>
  </si>
  <si>
    <t>https://drive.google.com/open?id=16d5n2T_YXVuEE2kOpmPxHLpNyCQIEaxL</t>
  </si>
  <si>
    <t>0895703212128 - 089682743804 - 085726877727</t>
  </si>
  <si>
    <t>https://drive.google.com/open?id=1UCP9V0ayTjOQHIMhauCq5CopFJymeumB</t>
  </si>
  <si>
    <t>https://drive.google.com/open?id=17iYI_7Ce1Q1er-JdXNII5BBEK86llgIj</t>
  </si>
  <si>
    <t>https://drive.google.com/open?id=1jcsrDaO9pOgBupjyYtTkgvmot20sBv9k</t>
  </si>
  <si>
    <t>0895703212128 - 085726877727 - 089682743804</t>
  </si>
  <si>
    <t>https://drive.google.com/open?id=13L4IlTGczJ9PWyPtImfwMmPec_NvljLX</t>
  </si>
  <si>
    <t>https://drive.google.com/open?id=15Y-nMWxz1CXkOVqsK21jKq7L90S_HciQ</t>
  </si>
  <si>
    <t>https://drive.google.com/open?id=1guT1Wc5b1mOzZGcReU_wjIfd7WoCQjhi</t>
  </si>
  <si>
    <t>085726877725 - 0895703212147 - 0895703212131</t>
  </si>
  <si>
    <t>https://drive.google.com/open?id=1K3flKQHmEjb194KuewNj87K_UBV03FK1</t>
  </si>
  <si>
    <t>https://drive.google.com/open?id=1xvSeOxBe48nAe0MjEo6rfQFuJ-zFJapP</t>
  </si>
  <si>
    <t>https://drive.google.com/open?id=19qhGICiUhbb4OPyb2i0zl16AEiWisNNQ</t>
  </si>
  <si>
    <t>0895703212127 - 0895703212123 - 0895429631773 - 0895635163253 - 0895635163246 - 0895703212724 - 0895429631875</t>
  </si>
  <si>
    <t>https://drive.google.com/open?id=1W2jcqiEertDsxAUYvwITJFOKciFIpvsE</t>
  </si>
  <si>
    <t>https://drive.google.com/open?id=1m9fscXVyFmSwfcvzNyt2p-ZhJ64w_cu5</t>
  </si>
  <si>
    <t>https://drive.google.com/open?id=1QfVRJg-olDmbGAy4RnB86qJancOIvJYR</t>
  </si>
  <si>
    <t>085726877728 - 085726875553 - 085726877731 - 085726875556 - 085726875558</t>
  </si>
  <si>
    <t>https://drive.google.com/open?id=1lxJBauuyLRpeq5EgBzTigXxwsfytkrAg</t>
  </si>
  <si>
    <t>AGUDIACell</t>
  </si>
  <si>
    <t>https://drive.google.com/open?id=1nOCmIsdEGwt62era1rB430vRDmSzRT5d</t>
  </si>
  <si>
    <t>https://drive.google.com/open?id=1Q-xT4BeUCRBvWlCbw-s8IGm1CjF9bMnt</t>
  </si>
  <si>
    <t>085815608957 - 085700948653</t>
  </si>
  <si>
    <t>085643217241</t>
  </si>
  <si>
    <t>https://drive.google.com/open?id=1p4YUDifRngxYzrxEyVs9FQVVE64OqGp9</t>
  </si>
  <si>
    <t>https://drive.google.com/open?id=1yWB8nByNx8E9KS7EXPJyy6ewl6SRG07G</t>
  </si>
  <si>
    <t>https://drive.google.com/open?id=13x1hHPkq-6K3y3vMbKPdY0vpbzi0wuzW</t>
  </si>
  <si>
    <t>085726877724 - 085726877734</t>
  </si>
  <si>
    <t>085842908795 - 085725467322 - 085741907867 - 0895328248974</t>
  </si>
  <si>
    <t>https://drive.google.com/open?id=10UDYOZ_6gzrf3M2gENPbFmSl6ToxYK-A</t>
  </si>
  <si>
    <t>https://drive.google.com/open?id=1IQnuiClbUTa80PEZMyhTxMhsyftfN1tb</t>
  </si>
  <si>
    <t>https://drive.google.com/open?id=1Df56W6QbbgXFzELL9f9MDpRqp3yIHRwX</t>
  </si>
  <si>
    <t>085743602938 - 085726877738</t>
  </si>
  <si>
    <t>085601230285</t>
  </si>
  <si>
    <t>https://drive.google.com/open?id=1dEGkVSwBkZcU77noaaRj_SY79IRQA7rZ</t>
  </si>
  <si>
    <t>https://drive.google.com/open?id=181wRUIvW4Ow5mbKqI7RNd4B7VmiUsTQq</t>
  </si>
  <si>
    <t>https://drive.google.com/open?id=181LgwMZHVej-nNWqmjOihidOoQAuzv-z</t>
  </si>
  <si>
    <t>089682619888</t>
  </si>
  <si>
    <t>https://drive.google.com/open?id=195jZIbrK1QwMfiScpfGS509nA3oC_nB5</t>
  </si>
  <si>
    <t>https://drive.google.com/open?id=1kjeg2SWtkIAlOwm4REeSs2FFydkEe9yB</t>
  </si>
  <si>
    <t>https://drive.google.com/open?id=1hyWDMwv2qkU_10P7KfPiYemHzldEB6pQ</t>
  </si>
  <si>
    <t>085726899957 - 085726900058 - 085726900050 - 085815609695</t>
  </si>
  <si>
    <t>085602664267 - 085642100138 - 085727892269 -085641122496 -0895336260795 - 085815030148</t>
  </si>
  <si>
    <t>https://drive.google.com/open?id=1eYptKW9CrmqQm21Yau8_oBM52l2c3R8T</t>
  </si>
  <si>
    <t>https://drive.google.com/open?id=1Zc6jUrBLArO5CLUpm1U29CgofV4-FK2X</t>
  </si>
  <si>
    <t>https://drive.google.com/open?id=1NJmmncrVhspXwZLPwZ7L24HwQeCuaET9</t>
  </si>
  <si>
    <t>08526900057 - 085726899978 - 085726899986 - 085726900080 - 085726900069</t>
  </si>
  <si>
    <t>https://drive.google.com/open?id=1zNr5T0gYK3-mWzb5Adt3Wl1CUGSPLMrB</t>
  </si>
  <si>
    <t>https://drive.google.com/open?id=19Sj0bCyPz8D3QU640bOpsMHeEJytRMAR</t>
  </si>
  <si>
    <t>https://drive.google.com/open?id=1hrUlzrr3ORaZSdvqqXNuIT4x9PPu2o9H</t>
  </si>
  <si>
    <t>085726899959 - 085726899979 - 085726900053</t>
  </si>
  <si>
    <t>https://drive.google.com/open?id=1UFXklMgUEclGvDUMPgAryY9SwYZXp2wO</t>
  </si>
  <si>
    <t>https://drive.google.com/open?id=1TAFx-lyNx54g0qWFr-q_5vsBvDw3pvtx</t>
  </si>
  <si>
    <t>https://drive.google.com/open?id=1f22XnVutMlM0cnWwUPGuG0H3g_eG4sEI</t>
  </si>
  <si>
    <t>085726899981 - 085726900091 - 085726900019</t>
  </si>
  <si>
    <t>089633597208</t>
  </si>
  <si>
    <t>https://drive.google.com/open?id=1l7KCAtEaVg2I0knAn3kidWgGVdvesJH2</t>
  </si>
  <si>
    <t>Rheiza</t>
  </si>
  <si>
    <t>Dominan</t>
  </si>
  <si>
    <t>https://drive.google.com/open?id=1HwOR3ED9Z2OHABtEV5at5HajydNuMLff</t>
  </si>
  <si>
    <t>https://drive.google.com/open?id=1WPRHnZl_jCvx2YPIzOJARMBXd4si6Fdt</t>
  </si>
  <si>
    <t>08980186601, 089654851442</t>
  </si>
  <si>
    <t>https://drive.google.com/open?id=1-DHUHwl38mLEe2BYqS_LfpwGsbp5lJNU</t>
  </si>
  <si>
    <t>https://drive.google.com/open?id=1NLWrKGO-6G8tKntPCF5DShx3xWU8tdcz</t>
  </si>
  <si>
    <t>https://drive.google.com/open?id=1ThBDg7pbtv-W49-dEPwD9VqOY2RYoRbw</t>
  </si>
  <si>
    <t>https://drive.google.com/open?id=1a1SU9aSENt1qLM_5u3o-Dy_y1i4QRlMf</t>
  </si>
  <si>
    <t>Dominan cell</t>
  </si>
  <si>
    <t>https://drive.google.com/open?id=1P74FOqGM-gIiG6rC7RXu89ybof9hGIGC</t>
  </si>
  <si>
    <t>https://drive.google.com/open?id=1eoHtSFZL4gBWsvE0G2RG5pnN2uahJNfO</t>
  </si>
  <si>
    <t>08983888189, 08985488532, 085779157927, 085730566552, 0895622624310, 085640511129, 085726160161, 085733240253, 085851588809, 085731243277</t>
  </si>
  <si>
    <t>https://drive.google.com/open?id=1Eh2ZTi1V9ZRBQlhtGyRp4TTGTYy8KiOB</t>
  </si>
  <si>
    <t>https://drive.google.com/open?id=1NK_56hanXsL1OfdGni0JSaYJVHdWowLu</t>
  </si>
  <si>
    <t>https://drive.google.com/open?id=1SjwOC27n4tm_bUBirrtfcqk0NblEPXGW</t>
  </si>
  <si>
    <t>085706800476</t>
  </si>
  <si>
    <t>089654851442, 089855494224, 081615144796, 08976851394, 085756035249, 085785217628, 085749659078</t>
  </si>
  <si>
    <t>https://drive.google.com/open?id=1dHet1PN0sXbxHCSR6PABpn3_GEHRR8CO</t>
  </si>
  <si>
    <t>https://drive.google.com/open?id=1F4WPIoxEqRJTCZvih0p8U343lxzd2y2I</t>
  </si>
  <si>
    <t>https://drive.google.com/open?id=1zOgSpeicH2uQwvIhtmqJAcInIOfQbsv6</t>
  </si>
  <si>
    <t>085706800480</t>
  </si>
  <si>
    <t xml:space="preserve">085617002529, 085607347015, 089815774420, 089930334835, +7 voucher </t>
  </si>
  <si>
    <t>https://drive.google.com/open?id=1wJGKUsLqhYvzUA6w9WxTr4jPJ48m33dL</t>
  </si>
  <si>
    <t>https://drive.google.com/open?id=1QHcq8CjmnD9JXzs0N1AsI_0EgIIg5CSy</t>
  </si>
  <si>
    <t>https://drive.google.com/open?id=1kom67Xwbf2r6202ybwZTwIlGoUL91yQs</t>
  </si>
  <si>
    <t>0895629541838</t>
  </si>
  <si>
    <t>089637875339, 0895380560077, 085756035249, 085749659078, 089506051000, 089697188783, 085752932945, 0895367297184</t>
  </si>
  <si>
    <t>https://drive.google.com/open?id=1m2YN2lH8M6B1s576tw4q7exKt1BMWcuN</t>
  </si>
  <si>
    <t>Rizky pratama dewi</t>
  </si>
  <si>
    <t>Abiyu cell</t>
  </si>
  <si>
    <t>https://drive.google.com/open?id=1m41PoBHo6_vKVvtBYXYL73g0jBdGQmgk</t>
  </si>
  <si>
    <t>https://drive.google.com/open?id=1EVv6uzjo0ezClIA4aA3PV-LoIAoCOVZ8</t>
  </si>
  <si>
    <t>085726955535, 085726955525, 085726955540, 085726955520</t>
  </si>
  <si>
    <t>085726955520, 085726955525</t>
  </si>
  <si>
    <t>https://drive.google.com/open?id=1gxWjSLiBKVOpShl5ktzIYjUWKXIfLKqa</t>
  </si>
  <si>
    <t>https://drive.google.com/open?id=1a2Wfs1nmn8IplcCkgH4CU527qCbngICe</t>
  </si>
  <si>
    <t>https://drive.google.com/open?id=1Ph-oo-coyaY_hYOUiMFDW8djkHvXzAry</t>
  </si>
  <si>
    <t>https://drive.google.com/open?id=1iWCcJZ-fHczgqA06XqCchSurTf7MI9PU</t>
  </si>
  <si>
    <t>https://drive.google.com/open?id=1fc9Z7SHQFifz0fH8GQFmAoYeakiVHb-k</t>
  </si>
  <si>
    <t>https://drive.google.com/open?id=1buEtT4Jp7cjF_VxrXWi5JXImu_DwdfAu</t>
  </si>
  <si>
    <t>085726955515, 085726955505, 085726955538</t>
  </si>
  <si>
    <t>https://drive.google.com/open?id=1dZUJZLCE0UFphrLv2xrWWO9SOnDFfZgR</t>
  </si>
  <si>
    <t>https://drive.google.com/open?id=1vcv1KPxdl_vJ3o5mKxGrCcKWn1gJrqwM</t>
  </si>
  <si>
    <t>https://drive.google.com/open?id=1naho07n4YwjTDR-mkHpddXvK_bqXdOsj</t>
  </si>
  <si>
    <t>https://drive.google.com/open?id=1O8Y7Ap1Hvc2qNCF9njC_X9490e4LfcDb</t>
  </si>
  <si>
    <t>https://drive.google.com/open?id=1H3pUQsSkzs-OHvSwVQv_KloW9HQp3fWW</t>
  </si>
  <si>
    <t>https://drive.google.com/open?id=1-QrJvDlJLWqY0ybh41stboWYN1-pvKCc</t>
  </si>
  <si>
    <t>https://drive.google.com/open?id=1XXFHyehihg-iITe0ErFdPoh_bDr73PYe</t>
  </si>
  <si>
    <t>https://drive.google.com/open?id=1XNq5RAGBEKbzszNkrltbh9hanFySrmgL</t>
  </si>
  <si>
    <t>https://drive.google.com/open?id=1B8k_sFoQ-Ss-4OzAQlmKAY7Zn8lrZYgt</t>
  </si>
  <si>
    <t>https://drive.google.com/open?id=1vqtrOODbLS22dD-VbvbnPgDQEQB4wM_E</t>
  </si>
  <si>
    <t>https://drive.google.com/open?id=1be06nXCNXDpTaqUK0MIJTb2I3niSVoWH</t>
  </si>
  <si>
    <t>https://drive.google.com/open?id=1I2gRQuBTLLTdHqD3h2oiAFS7rqBRD0bh</t>
  </si>
  <si>
    <t>085726955536, 085726955537</t>
  </si>
  <si>
    <t>https://drive.google.com/open?id=12gPoUbc17mtEZysycN-9pI9_6tqUBfM7</t>
  </si>
  <si>
    <t xml:space="preserve">  </t>
  </si>
  <si>
    <t>https://drive.google.com/open?id=1201p3G_kM7SyeYVgJT0rQpVxnfNVT81t</t>
  </si>
  <si>
    <t>https://drive.google.com/open?id=1piHt-vZxglM23gJ8XAybZ1OoIjQF8IZO</t>
  </si>
  <si>
    <t>Voucher</t>
  </si>
  <si>
    <t>https://drive.google.com/open?id=1CC8pFP8d7TMOYS_oOLvnlsPthaGXuDw8</t>
  </si>
  <si>
    <t>https://drive.google.com/open?id=1v_w5zX97YdTec2g72okfeJF3OdCLPaYD</t>
  </si>
  <si>
    <t>https://drive.google.com/open?id=1WY9J622QM20_YDPJbDuJbU48GyOT45SL</t>
  </si>
  <si>
    <t>https://drive.google.com/open?id=1EUSJccgm7tW9sp4YVVGUKOpoBBUvh-Vo</t>
  </si>
  <si>
    <t>https://drive.google.com/open?id=1sWYrpr3ODJPfzZiLn1AlMOrJGs8Kd-BP</t>
  </si>
  <si>
    <t>https://drive.google.com/open?id=16Lqj6Qps8qoTqzz5FrqoibzObh3qGJOh</t>
  </si>
  <si>
    <t>085726900079,089682619970, 089682619960</t>
  </si>
  <si>
    <t>https://drive.google.com/open?id=1u5neasVtU3uhGZw-0zZTlM2yGNkesYfg</t>
  </si>
  <si>
    <t>Ryan shobwatur rizal</t>
  </si>
  <si>
    <t>TFT cell</t>
  </si>
  <si>
    <t>https://drive.google.com/open?id=15p1hHEvL_6drhRD645Bjo5cManPcBihC</t>
  </si>
  <si>
    <t>https://drive.google.com/open?id=19EyudNkvCkHwmABxi5spE9V7lMT40ZNf</t>
  </si>
  <si>
    <t>https://drive.google.com/open?id=1fTvxRnm1SyQyvWRFXU9ddipA4czUUJQx</t>
  </si>
  <si>
    <t>TFT Cell</t>
  </si>
  <si>
    <t>https://drive.google.com/open?id=1DcXTeN8m_rKDeMnoEBJC57p0JckEVDHu</t>
  </si>
  <si>
    <t>https://drive.google.com/open?id=1XehGREVNtETt2_ODnEWA-e8Wa8CJTWx9</t>
  </si>
  <si>
    <t>085728009454 085602898261 085602898260</t>
  </si>
  <si>
    <t>https://drive.google.com/open?id=1XGA6qYgnM9e0DYfwvMLbkbZGjpOKnvWL</t>
  </si>
  <si>
    <t>https://drive.google.com/open?id=1vPcYfeSF3J_xCVfeTKfyrxExrXk7zWv5</t>
  </si>
  <si>
    <t>https://drive.google.com/open?id=1CQYc1OedGfnT5x4m7H5Lps1jh5JphR_h</t>
  </si>
  <si>
    <t>085602899546 085602899545</t>
  </si>
  <si>
    <t>https://drive.google.com/open?id=1WzeTQ9Y30UxC2RrTtRX01wPYZ2S0zQch</t>
  </si>
  <si>
    <t>https://drive.google.com/open?id=1xjiwCU17Pjohd0XMzynVILY9MNm1nNdQ</t>
  </si>
  <si>
    <t>https://drive.google.com/open?id=1XUhrOQUh7kdjQDxGbRZqbUUTY4lXxb2Y</t>
  </si>
  <si>
    <t>085602899544 085602899539 085602899540</t>
  </si>
  <si>
    <t>https://drive.google.com/open?id=1pgM2h7OFs3P6h1aX7rjkyd6oXI7JwGUA</t>
  </si>
  <si>
    <t>Septy maulida ( sely )</t>
  </si>
  <si>
    <t>Susan cell</t>
  </si>
  <si>
    <t>https://drive.google.com/open?id=1BRaw0-O2Bn80XfapxfksZga0u6Y54nwM</t>
  </si>
  <si>
    <t>https://drive.google.com/open?id=1HuQUNu69B6JjHnLrt3MP2lTrccUzgrWp</t>
  </si>
  <si>
    <t>Lupa</t>
  </si>
  <si>
    <t>0895414437057</t>
  </si>
  <si>
    <t>https://drive.google.com/open?id=1zJxMvEZsbkKTkpMfroUm0Xx2krh7fa8d</t>
  </si>
  <si>
    <t>https://drive.google.com/open?id=11us9PlL_kyq6jhs-yekhOc4yAcSzM_8G</t>
  </si>
  <si>
    <t>0895623101378</t>
  </si>
  <si>
    <t>https://drive.google.com/open?id=163wpKzkwKIxrA7qyPKpl2602I6rBBamf</t>
  </si>
  <si>
    <t>https://drive.google.com/open?id=1pchqg5SO-yYVRW2LexxMVphGc-GGpg-3</t>
  </si>
  <si>
    <t>https://drive.google.com/open?id=1B5IM5RZEP6Dp3BMi4qnPib2K1Ybk6gZP</t>
  </si>
  <si>
    <t>https://drive.google.com/open?id=1xRD_QwbnRzenif6Hj4LRBn1CvUKpJ0r5</t>
  </si>
  <si>
    <t>https://drive.google.com/open?id=1nYUX7s_yd6rUEZXNHrKJgnLeLE01DYBH</t>
  </si>
  <si>
    <t>0895622989311</t>
  </si>
  <si>
    <t>Sy minta Tidak dikasih nomer y cust</t>
  </si>
  <si>
    <t>https://drive.google.com/open?id=1OwyFVgwAsxZgN45F1f-aT-DD15W1FGqQ</t>
  </si>
  <si>
    <t>https://drive.google.com/open?id=1fP50X1bhu3vJ0OUXr6q-X9MnWBaTGZfx</t>
  </si>
  <si>
    <t>0895622989317</t>
  </si>
  <si>
    <t>https://drive.google.com/open?id=161yoc0FyT72YteGRNlo7wQrpg4q7Iv8K</t>
  </si>
  <si>
    <t>https://drive.google.com/open?id=1JrzKa6Ydu1qYH77QZWvjC5mqwUcIlYVC</t>
  </si>
  <si>
    <t>https://drive.google.com/open?id=1wusv8NKuj9CB-B74jFpjrOYdVugCdpbe</t>
  </si>
  <si>
    <t>https://drive.google.com/open?id=13-Qhd1orcs5I-uel2Cp1xLbE4RDi3r_q</t>
  </si>
  <si>
    <t xml:space="preserve">Sugiyanti </t>
  </si>
  <si>
    <t>Public Cell</t>
  </si>
  <si>
    <t>https://drive.google.com/open?id=1uYIrO75VF4srq7sMtc8HCOd2heYCkqKc</t>
  </si>
  <si>
    <t>https://drive.google.com/open?id=17ekErsyprbM6xpwJquvgmuOnpBRTY8rl</t>
  </si>
  <si>
    <t>085842036535</t>
  </si>
  <si>
    <t>https://drive.google.com/open?id=1wSDKMoJM_boY2_LaakBk-SD0dr0BCP79</t>
  </si>
  <si>
    <t>https://drive.google.com/open?id=1WWqYvIJNAV3AKbmEDyhicCeyKHkb9f-z</t>
  </si>
  <si>
    <t>https://drive.google.com/open?id=1TDo_991P5JPq44bteuZKzEMfdcPbLz_l</t>
  </si>
  <si>
    <t>085842036534</t>
  </si>
  <si>
    <t>https://drive.google.com/open?id=1hhCsmHaTkPODIS_m9_LWYldnrb_NSgA8</t>
  </si>
  <si>
    <t>https://drive.google.com/open?id=1uQ32IWfpYeJGQNgTnboQ_YzIcrDI_hNn</t>
  </si>
  <si>
    <t>https://drive.google.com/open?id=1JxBcdNq1biAP-d-IPJbleakRhfWyNz7n</t>
  </si>
  <si>
    <t>085712159158, 085712159161, 085842036537, 085842036536</t>
  </si>
  <si>
    <t>https://drive.google.com/open?id=1235w2uLdrNrKHc_7uRsCNg4lQJo0pobe</t>
  </si>
  <si>
    <t xml:space="preserve">Kampus ISI dan sekitarnya </t>
  </si>
  <si>
    <t>https://drive.google.com/open?id=1aeHyJPhI4QNoXZAdMmB35wC5GXrOF5mr</t>
  </si>
  <si>
    <t>https://drive.google.com/open?id=12HWn2K-EcXVPngRqSP2hPFXAj1bdcSDL</t>
  </si>
  <si>
    <t xml:space="preserve">Kampus janabadra dan sekitarnya </t>
  </si>
  <si>
    <t>https://drive.google.com/open?id=1SeZRzi5dLyRFaBlpPBveDNGsp5xMB6aZ</t>
  </si>
  <si>
    <t>https://drive.google.com/open?id=1wBlhzsAZrc_ojGsBZ88mBJQM13QbHu1o</t>
  </si>
  <si>
    <t>SYAHRUL HADI MAULANA</t>
  </si>
  <si>
    <t>GGS</t>
  </si>
  <si>
    <t>https://drive.google.com/open?id=1jnqobBQp0bScHwNSgKg-zi2QiUbuUQ3t</t>
  </si>
  <si>
    <t>https://drive.google.com/open?id=1kiTAeG9BajMmRTp2MMdh6q9LcWAyisLa</t>
  </si>
  <si>
    <t>https://drive.google.com/open?id=1tXEnoa8xL7YFcImN5obWPQm2CVyWU6NW</t>
  </si>
  <si>
    <t>GANTENG GANTENG SELULER</t>
  </si>
  <si>
    <t>https://drive.google.com/open?id=1U9Gg-jZjQRGOrl7bcxMpVqGf01oFWyoq</t>
  </si>
  <si>
    <t>https://drive.google.com/open?id=1L9lIzfv9CYTcYUaYQml7_SUvbUNyGgWP</t>
  </si>
  <si>
    <t>https://drive.google.com/open?id=1NV6bHKgSeMW6DGjnZSmFTm47JDRUg5oX</t>
  </si>
  <si>
    <t>https://drive.google.com/open?id=1hyxv6gS4OtgMCMokwVMgo5EYUTWVspxK</t>
  </si>
  <si>
    <t>https://drive.google.com/open?id=1cpbmuCSLFRykqTsmp5s13AUjosE505wq</t>
  </si>
  <si>
    <t>085785765575 085785765574 085785765573 085785765572 085785765571 085785765570 085785765569 085785765568 085785765565 085785765564 085785765563 085785765562 085785765561 085785765549 085785765548 085785765546 085785765545</t>
  </si>
  <si>
    <t>https://drive.google.com/open?id=1CVmglxUFVm3J5nQTjjuMYubE0y1b26le</t>
  </si>
  <si>
    <t>https://drive.google.com/open?id=1_LPPctpW-kmi1Uf7stRiImC-Fu4HQJEI</t>
  </si>
  <si>
    <t>085785767094 085785767095 085785767096 085785767097 085785767098 085785767099 085785767101 085785767102 085785767103 085785767104 085785767105 085785767106 085785767107 085785767109 085785767110 085785767112 085785767113 085785767115 085785767116 085785767118</t>
  </si>
  <si>
    <t>https://drive.google.com/open?id=1otstqmBjZnGHu_W3CSxtI8eZgxU-ZE5g</t>
  </si>
  <si>
    <t>https://drive.google.com/open?id=1k57EEx664d8-_CQFRQO27ksnpjvmj7pc</t>
  </si>
  <si>
    <t>https://drive.google.com/open?id=1Oe9egytpt2_KMG-ZU3GOaeoZTafBNQ2I</t>
  </si>
  <si>
    <t>https://drive.google.com/open?id=1y8XU7P_QSfdN1Kk_bDpLuPbBqG8Cjpw1</t>
  </si>
  <si>
    <t>https://drive.google.com/open?id=1a4nqstYDWENsfhSuXFIJDFG01BXnOU6Z</t>
  </si>
  <si>
    <t xml:space="preserve">Tasya Intan Maharani </t>
  </si>
  <si>
    <t xml:space="preserve">Jogja Card </t>
  </si>
  <si>
    <t>https://drive.google.com/open?id=19Qv45iW4y_FvVeZ5caPfXKI02X3aZTfz</t>
  </si>
  <si>
    <t>https://drive.google.com/open?id=1rqFeNTVmNhl3YfoIsyaWlbOSJE7t9PB4</t>
  </si>
  <si>
    <t>https://drive.google.com/open?id=19rHnz1yHkTXhmCkQVFAiHe-Y0qrDDrJX</t>
  </si>
  <si>
    <t xml:space="preserve">Tiara Putri Ramadhani </t>
  </si>
  <si>
    <t>Java cell</t>
  </si>
  <si>
    <t>https://drive.google.com/open?id=12q8CtOztMxFOq8t8gGlydSVJyIwJDPMR</t>
  </si>
  <si>
    <t>https://drive.google.com/open?id=1PyEl-b1seNJ22KGKLfm8vYa6xLFNbRNt</t>
  </si>
  <si>
    <t xml:space="preserve">081515123944 / 08151515123946 / 081515123957 / 081515123956 </t>
  </si>
  <si>
    <t>https://drive.google.com/open?id=1kjQgKHpecAb-9Mkq_AGllfsqk18zBkiK</t>
  </si>
  <si>
    <t>https://drive.google.com/open?id=1B2SV0ODwOYNDnN5GZsqtLAyqH6yWnJ-V</t>
  </si>
  <si>
    <t>https://drive.google.com/open?id=1F3FK8xIsgeMNGlyI82rWOy-dVa5Th6T5</t>
  </si>
  <si>
    <t>08515123951 / 085877060982</t>
  </si>
  <si>
    <t>085731270290 / vocher:8581425515771342</t>
  </si>
  <si>
    <t>https://drive.google.com/open?id=19UBoYYzlZvX72aplUM8vFRRVgFbzB_yn</t>
  </si>
  <si>
    <t>java cell</t>
  </si>
  <si>
    <t>https://drive.google.com/open?id=1P6xBWprIwxXiJze0rePGln_rkJ680dDh</t>
  </si>
  <si>
    <t>https://drive.google.com/open?id=1eEwSOvWoah9nbaCBpGwbKSexCA9k8KIj</t>
  </si>
  <si>
    <t>085877059595</t>
  </si>
  <si>
    <t xml:space="preserve">isi ulang vocher </t>
  </si>
  <si>
    <t>https://drive.google.com/open?id=1bYnPhfUz9HqaRaHKku6JM4hlt8-RnS18</t>
  </si>
  <si>
    <t>https://drive.google.com/open?id=1J1sm9Mbk91g7fCg7XXa--lOj8x9RlbY5</t>
  </si>
  <si>
    <t>https://drive.google.com/open?id=117OQkNZTS6w4_fyGm9zxWNRIzeCXhBXP</t>
  </si>
  <si>
    <t>084877059570 / 085877059571</t>
  </si>
  <si>
    <t xml:space="preserve">vocher </t>
  </si>
  <si>
    <t>https://drive.google.com/open?id=1NYc7GfBgtfAp8Kg-u2GtEWLygmDW-sNk</t>
  </si>
  <si>
    <t>https://drive.google.com/open?id=1J4Ik5NHveAt9_h1MoINdHwQUj8ZyhEEK</t>
  </si>
  <si>
    <t>https://drive.google.com/open?id=1U3lg4f6Rb2PtLMunSdaWQdgT8fJwRujX</t>
  </si>
  <si>
    <t>https://drive.google.com/open?id=1ZRtEiDtRt_nYCUCuX7PiXwgHOOjheRqF</t>
  </si>
  <si>
    <t>https://drive.google.com/open?id=1dvOzogTTR9G7sZAOahOQBwaXg112FMZ5</t>
  </si>
  <si>
    <t>https://drive.google.com/open?id=1uAB029dnUy-6ixOsbOh08GM68CH14bzG</t>
  </si>
  <si>
    <t>https://drive.google.com/open?id=1jqTayAKDGpZL1UuPaB_4yFAONJmcFKbY</t>
  </si>
  <si>
    <t>Ulfa Faizatul Laily</t>
  </si>
  <si>
    <t>Bionic cell</t>
  </si>
  <si>
    <t>https://drive.google.com/open?id=1l_yaFgJJa6buXrIdQEr-YvTxPpU_r4bT</t>
  </si>
  <si>
    <t>https://drive.google.com/open?id=1pVTaKtfSeP3drNWSH9LEYBR-tbbUSrjK</t>
  </si>
  <si>
    <t>085748881914</t>
  </si>
  <si>
    <t>085733555770</t>
  </si>
  <si>
    <t>https://drive.google.com/open?id=16-blfD27WfInf_A6VAKGPjZ7F4SmoFNH</t>
  </si>
  <si>
    <t>Bionic Cell</t>
  </si>
  <si>
    <t>https://drive.google.com/open?id=1mxO2yZUuJpyuBuwzcpehRfOZPFQLv4Yu</t>
  </si>
  <si>
    <t>https://drive.google.com/open?id=1UXRAXvZbPolLQmVGW-Cd25WHAwfDo9Qv</t>
  </si>
  <si>
    <t>(085878086411) (085878086415)</t>
  </si>
  <si>
    <t>https://drive.google.com/open?id=1pIJsVYSThJqGhzI3re6RsYLR0_mCGUOX</t>
  </si>
  <si>
    <t>https://drive.google.com/open?id=12var_5t6QfUbNywYyPNnYkIcCYpziUSU</t>
  </si>
  <si>
    <t>https://drive.google.com/open?id=1ZYiq2UGb8-BQHNMUSFVh6nZiuKFcPwX-</t>
  </si>
  <si>
    <t>(085601243412) (085748881931) (085601243409)</t>
  </si>
  <si>
    <t>Serial number = 2001370519151</t>
  </si>
  <si>
    <t>https://drive.google.com/open?id=1QIooWiaHEmRh-iZvwPw_vsFATlpbkYpS</t>
  </si>
  <si>
    <t xml:space="preserve">Bionic Cell </t>
  </si>
  <si>
    <t>https://drive.google.com/open?id=1xhc89Udp76jBeM6m-Q-lDb_hUacdBib2</t>
  </si>
  <si>
    <t>https://drive.google.com/open?id=159fA0fzlUzfKmAc0avX9EJQI7Fk8xXN6</t>
  </si>
  <si>
    <t>081515125568</t>
  </si>
  <si>
    <t>(085766751983) (085878086195) (085855578131)</t>
  </si>
  <si>
    <t>https://drive.google.com/open?id=1GJtIWMR2NcQyUI-xF6bpO5VPAqc02R-b</t>
  </si>
  <si>
    <t>https://drive.google.com/open?id=1ATRmyiOPoYZF8bL_Uw_0mVh3Rzs5WXXD</t>
  </si>
  <si>
    <t>https://drive.google.com/open?id=1-Wo7Wl0F7Z3yu8BqfNriIG_1r_bOlxZ0</t>
  </si>
  <si>
    <t>081515125489</t>
  </si>
  <si>
    <t>081555464112</t>
  </si>
  <si>
    <t>https://drive.google.com/open?id=1pgcRAEswCh7J3SNgNyaNJuxij8_J_YpB</t>
  </si>
  <si>
    <t>https://drive.google.com/open?id=1a3xlgFPHkjBCuvFNzgknd9BVnnSTcyug</t>
  </si>
  <si>
    <t>https://drive.google.com/open?id=1A9JKbhxOlVmaxnb5zlJORzwrB2Xm7TSr</t>
  </si>
  <si>
    <t>https://drive.google.com/open?id=10WXo9k-i7ZHVvLbdvrJqSGv46S6GKB-5</t>
  </si>
  <si>
    <t>https://drive.google.com/open?id=1QHy_Eq7Z1hhaHOUdcB77pCAskzjRnqS0</t>
  </si>
  <si>
    <t>https://drive.google.com/open?id=1xVfNmLQpdkP718PM3Nny4uC0eLejAhxv</t>
  </si>
  <si>
    <t>081515125468</t>
  </si>
  <si>
    <t>https://drive.google.com/open?id=1svrxWpVo3EeBMu50fsB3rnRzuEFDHgTa</t>
  </si>
  <si>
    <t>https://drive.google.com/open?id=1mofbcTU7-coqvX4j29tZta4mvh6nYhRv</t>
  </si>
  <si>
    <t>https://drive.google.com/open?id=1P11JwPmPvY7T1b_UMQWxK1NMNlHd-Uxs</t>
  </si>
  <si>
    <t>(081515125517) (085748881917)</t>
  </si>
  <si>
    <t>https://drive.google.com/open?id=1Tk-IsFhmtfygQkQ16ZCUKSs0CV2tFI2p</t>
  </si>
  <si>
    <t>Vian Erviana Reilyani</t>
  </si>
  <si>
    <t>Jogja card</t>
  </si>
  <si>
    <t>https://drive.google.com/open?id=1FYD8-sgCRu43ASu2i7_W4z17BBVKX1dX</t>
  </si>
  <si>
    <t>https://drive.google.com/open?id=1qG8udWLa9BapK810BvF7qpRhsOy9lCqT</t>
  </si>
  <si>
    <t>Jogja Card</t>
  </si>
  <si>
    <t>https://drive.google.com/open?id=1bN0oJHzcIHO7bsjHo3-_V0ZygHHu0dsF</t>
  </si>
  <si>
    <t>https://drive.google.com/open?id=1UZOWID1akFNlcrBKuE1ueyonr-ze3Obr</t>
  </si>
  <si>
    <t xml:space="preserve">085738039309, 085738039308, 085738039300, 085738039299, </t>
  </si>
  <si>
    <t>https://drive.google.com/open?id=1izrXTIAI915G0DjW0qTJxquEJA4vi8gb</t>
  </si>
  <si>
    <t>https://drive.google.com/open?id=14vTxzX-k0mqjhVyCeLxdWMecDCi5bfHd</t>
  </si>
  <si>
    <t>https://drive.google.com/open?id=1p9krsrcS_ayDR1hcuVp9auGVz0tCLoRk</t>
  </si>
  <si>
    <t>- 085738039320 - ⁠085738039316 - ⁠085738039297 - ⁠085738039298</t>
  </si>
  <si>
    <t>https://drive.google.com/open?id=1lUSP8LQm6kOtGKOerpb6_QmBB1u44ClB</t>
  </si>
  <si>
    <t>https://drive.google.com/open?id=10Zy2ps6hGLyBIJeyHqSr8lQCEAX74hCi</t>
  </si>
  <si>
    <t>https://drive.google.com/open?id=10jhcHOse42U2LsIH2t9MtssAWSTRPQRA</t>
  </si>
  <si>
    <t xml:space="preserve"> - 085738039313 - ⁠085738039312 - ⁠085738039314</t>
  </si>
  <si>
    <t xml:space="preserve"> - ⁠085738039312 - ⁠085738039314</t>
  </si>
  <si>
    <t>https://drive.google.com/open?id=1gKVg4a5XPT3x-hnePd3tQN9cbJvCZH87</t>
  </si>
  <si>
    <t>https://drive.google.com/open?id=1QcypxLLH0zWD9Q7XSQiRXXVDxdiWXYc6</t>
  </si>
  <si>
    <t>https://drive.google.com/open?id=1PLjiPj1_ZQT8o34i5OE-UNKlsaQjw061</t>
  </si>
  <si>
    <t>085738039305 085738039301 085738039307 085738039304</t>
  </si>
  <si>
    <t>https://drive.google.com/open?id=1keSdM9c66izyDNszgJ-kWyPqe4inoxYq</t>
  </si>
  <si>
    <t>https://drive.google.com/open?id=16N6lsl4KRs1ao6Smao3OlxDtNJnS_qOl</t>
  </si>
  <si>
    <t>https://drive.google.com/open?id=1HJfB5wpk4D62XQDVh9XRjP6NJJkRH3P9</t>
  </si>
  <si>
    <t>085738039302 085738039324 085738039327 085738039317</t>
  </si>
  <si>
    <t>https://drive.google.com/open?id=1RjYO5IQjjw4Stu_zJ0l9jCs77EOsmeQL</t>
  </si>
  <si>
    <t>https://drive.google.com/open?id=17CzM1BeYO5BYDEJp35ayHAKrFop8iBg2</t>
  </si>
  <si>
    <t>https://drive.google.com/open?id=1eEK0l5Q1_yrqT8ycJJ1QiWt7X8sLSQG_</t>
  </si>
  <si>
    <t>085738047659 085738047658 085738047646 085738047650</t>
  </si>
  <si>
    <t>08156566300</t>
  </si>
  <si>
    <t>https://drive.google.com/open?id=1lwFiQ4XOT8w6tUy24lGMS5u-utAX2hay</t>
  </si>
  <si>
    <t>https://drive.google.com/open?id=1DGl4umIObTxOq4zY8jDuJ_D2it0vk9hn</t>
  </si>
  <si>
    <t>https://drive.google.com/open?id=1-pNzls2VbWGKjjrszCSaWXaFypBHzFB_</t>
  </si>
  <si>
    <t>085738047645 085738047647 085738047656  085738047649</t>
  </si>
  <si>
    <t>08156564500</t>
  </si>
  <si>
    <t>https://drive.google.com/open?id=1UWUxbWoCy1eUPtjUNNZoZkvqUw15PlyV</t>
  </si>
  <si>
    <t>https://drive.google.com/open?id=1Y_uMm0MS8HCGEVpB2QlYrq_Ce7IaYHev</t>
  </si>
  <si>
    <t>https://drive.google.com/open?id=1GFFgmEJ_sxG9rwRhZU5eP8B3-STsvVrp</t>
  </si>
  <si>
    <t xml:space="preserve">085712158671 085738047649 085712158572 085738047661 </t>
  </si>
  <si>
    <t>https://drive.google.com/open?id=12AWkoUAlYKvTcHV9J6NgYVZWrVY6dI18</t>
  </si>
  <si>
    <t>https://drive.google.com/open?id=1fnoQHYpiTfsNrqlADadHNbc2-_TRQLHB</t>
  </si>
  <si>
    <t>https://drive.google.com/open?id=1Yqj3vdLNrUCzoBTFh5TD_NR0v6DdyVbJ</t>
  </si>
  <si>
    <t xml:space="preserve">085712158547 085738047698 085712158178 085712158113 </t>
  </si>
  <si>
    <t>https://drive.google.com/open?id=1c4gm9wiKFgPWsQ9J9Lj27LJde0NgBo3b</t>
  </si>
  <si>
    <t>https://drive.google.com/open?id=1wtDD6Pbxw7NcuSNRh-GNiqesjLtXtDk3</t>
  </si>
  <si>
    <t>https://drive.google.com/open?id=1qP2Wcbwr0rRF8cv9a_8ZHF4ekZ89cpuK</t>
  </si>
  <si>
    <t>085738047698 085738047651 085738047698</t>
  </si>
  <si>
    <t>https://drive.google.com/open?id=1RH_7Ep5Na4v2kK9fRPIzwPpnmpmSYj3w</t>
  </si>
  <si>
    <t>Vian erviana reilyani</t>
  </si>
  <si>
    <t>https://drive.google.com/open?id=1o7uusQWhr1wB9ScLHDtvL2fBHUkQdnKu</t>
  </si>
  <si>
    <t>https://drive.google.com/open?id=1PpTe3DnfHou84p7b-4dEdqSASmNj2xS9</t>
  </si>
  <si>
    <t>085738047703 085738047702 085738047704</t>
  </si>
  <si>
    <t>https://drive.google.com/open?id=1jccXHPBLifzRKusFx-Qst6KxI1_gKryI</t>
  </si>
  <si>
    <t>https://drive.google.com/open?id=1TIS4rwbPy-9SYXAZEJnuyCmntqTa8wIs</t>
  </si>
  <si>
    <t>https://drive.google.com/open?id=1MzxFvY76zifsvMwC34foLp4TB5eCqHF2</t>
  </si>
  <si>
    <t>085712235027 085712234871 085712234728 085712234735</t>
  </si>
  <si>
    <t>https://drive.google.com/open?id=13Fnitj3Iqk5aGUKn8nH4IuEIUmNaycFO</t>
  </si>
  <si>
    <t>https://drive.google.com/open?id=1bmh43xmXvpBRtbHqAU-QKMG8vdxB8Ugf</t>
  </si>
  <si>
    <t>https://drive.google.com/open?id=1R5W8Z2EDUa6lYiqnz0rwwgtkCCnNSOZ_</t>
  </si>
  <si>
    <t>085712234803 085738047706</t>
  </si>
  <si>
    <t>08156566300 08156564500</t>
  </si>
  <si>
    <t>https://drive.google.com/open?id=1vlkZNDYF5ua9grpSHHwZA7Pig9MlHHHe</t>
  </si>
  <si>
    <t>https://drive.google.com/open?id=1bBQPof-m6yWRH7C6sI4O-KPfz4PV0ur9</t>
  </si>
  <si>
    <t>https://drive.google.com/open?id=1P1dO9ZBBXWd5R5N-FipyS4IdlfHf_ouO</t>
  </si>
  <si>
    <t>085738047710 085738047707</t>
  </si>
  <si>
    <t>https://drive.google.com/open?id=1hEKBqD9G0AxnkbjOIMz5AWyZwNdtJD2A</t>
  </si>
  <si>
    <t>Viantrini</t>
  </si>
  <si>
    <t>Giga data</t>
  </si>
  <si>
    <t>https://drive.google.com/open?id=1HYU4jKq6GZgLG650gvFxpqoPHkmas3Jg</t>
  </si>
  <si>
    <t>https://drive.google.com/open?id=1-ThJLVrEd83eeDgCXfPuR3PG9LAUiN_C</t>
  </si>
  <si>
    <t>085700543099</t>
  </si>
  <si>
    <t>https://drive.google.com/open?id=1hxjiffuH_B-JxCEheIrsg2vcBk71jVL8</t>
  </si>
  <si>
    <t>https://drive.google.com/open?id=1CRBZvU4eMWrXzY5kbgOqhtwTS3bsEUey</t>
  </si>
  <si>
    <t>https://drive.google.com/open?id=1HWSlgimYeRQMs-JyPPEH6uS4COpQVc1G</t>
  </si>
  <si>
    <t>https://drive.google.com/open?id=1eEJadFn9ZwBFn6zKivzrZ-uW7aMw_ALe</t>
  </si>
  <si>
    <t>https://drive.google.com/open?id=1Gof-RS1JdauWBDGTjVaRAlohVS-tv_87</t>
  </si>
  <si>
    <t>vina lailatul</t>
  </si>
  <si>
    <t>Micron cell</t>
  </si>
  <si>
    <t>https://drive.google.com/open?id=1kFhnq5YswU5XzldE6AqLXUKmiuej7oIp</t>
  </si>
  <si>
    <t>https://drive.google.com/open?id=1JngMajvMrifOyMjcSfjk-zJwv-bCfy5g</t>
  </si>
  <si>
    <t>1.085701771704 2. 085729359658 3.085701771629</t>
  </si>
  <si>
    <t>https://drive.google.com/open?id=1S0BuPN7vJjdLcanamHPRUSxvBFrR2f6s</t>
  </si>
  <si>
    <t>Micron</t>
  </si>
  <si>
    <t>https://drive.google.com/open?id=1HGCyOyNa0yOZCET92pXQTMR8_12kiKcN</t>
  </si>
  <si>
    <t>https://drive.google.com/open?id=1b2uUxil7yUAG8cqOZNVLZmYSiNTQ7wAB</t>
  </si>
  <si>
    <t>1.085701771704 2.085729359658 3.085701771629</t>
  </si>
  <si>
    <t>1.085704287377 2.085852639357 3.085606122297 4.081555905839 5.085812316559 6.088980452358</t>
  </si>
  <si>
    <t>https://drive.google.com/open?id=1GfNI7k2t_zSBdjS4p1aTorxZZRNDW7KT</t>
  </si>
  <si>
    <t>Micron Cell</t>
  </si>
  <si>
    <t>https://drive.google.com/open?id=1235tOu0ayNqfe6OdpG_c7TIM4SNIZ8MK</t>
  </si>
  <si>
    <t>https://drive.google.com/open?id=1IcpttItQSZv9ilrCnLoK9M5sARuLf5MZ</t>
  </si>
  <si>
    <t>1.085701771652 2.085857727776 3.0895634203866</t>
  </si>
  <si>
    <t>1.085606123994 2.08165433817 4. 085816040420 5.089681558073</t>
  </si>
  <si>
    <t>https://drive.google.com/open?id=1cTAhW9LZzU2D278ZXavvjaF6sIXXP_NM</t>
  </si>
  <si>
    <t>https://drive.google.com/open?id=14PLQ-0PzXGA2xU0nZX8KWbLX4ucIPryF</t>
  </si>
  <si>
    <t>https://drive.google.com/open?id=1GV4TgK74qUQkkYEGCAoIEqTorSCg9oAI</t>
  </si>
  <si>
    <t>085701771702</t>
  </si>
  <si>
    <t>1. 085657063238 2.085722675397 3.085655224465 4.085645123163 5.085735341559 6.085607908511      7.085792440461 8.085704665831 9. 085850210005 10. 081553195092                   Three 1. 0895337261499  2,089636952745  3.089672110959   4.089677546009</t>
  </si>
  <si>
    <t>https://drive.google.com/open?id=1Iu_FwfI5G5bzgcemsNDyrygIQ3RdsMci</t>
  </si>
  <si>
    <t>https://drive.google.com/open?id=1BacsBPbxBxKAbrLOT0ZRejzMiOHSTHke</t>
  </si>
  <si>
    <t>https://drive.google.com/open?id=133QY32fjvAMhxyz5TCQP0cFyUgGdCIGO</t>
  </si>
  <si>
    <t>085701771802</t>
  </si>
  <si>
    <t>https://drive.google.com/open?id=1s-YBE4ruLLEHTlRhKnmtpVpG-iLskOGj</t>
  </si>
  <si>
    <t>https://drive.google.com/open?id=1u8fZmNlkYfT6Bjp8KKgEocVUs2wjLmlv</t>
  </si>
  <si>
    <t>https://drive.google.com/open?id=1WnvftjdRWVrH8Sq2jfg765DilpNJGFby</t>
  </si>
  <si>
    <t>085604679841</t>
  </si>
  <si>
    <t>https://drive.google.com/open?id=1lfo54YtRZtHhpGCGTnJMhgrdLpgtUqRl</t>
  </si>
  <si>
    <t>https://drive.google.com/open?id=1rQYBo9i342Ke3KAFEQ4f0qX0DPIKzLef</t>
  </si>
  <si>
    <t>https://drive.google.com/open?id=1yq96fGrVyvtsixKCC3Fm47hqP4pe0xtU</t>
  </si>
  <si>
    <t>085701771613</t>
  </si>
  <si>
    <t>https://drive.google.com/open?id=1mVHjoXrExzBMhxV3n2-OFutxv-0AD7-0</t>
  </si>
  <si>
    <t xml:space="preserve">Micron cell </t>
  </si>
  <si>
    <t>https://drive.google.com/open?id=13EbOrbCmtoKpHwlJEPDu44yMkdUJyPiM</t>
  </si>
  <si>
    <t>https://drive.google.com/open?id=1AqTl9FycASY9e4bWrjQUot1Q-xX3h4SA</t>
  </si>
  <si>
    <t>1.085701771687 2. 085701771607 3.085701771654 4.085701771693</t>
  </si>
  <si>
    <t>1.085806230627 2.081515762838 3.085729740688 4.085852351699 5.085843496980 6.085755145471 7.085855619476 8.085648641559</t>
  </si>
  <si>
    <t>https://drive.google.com/open?id=107mDkQPM7vfg9VbGDrwHHSaoaT6HyneL</t>
  </si>
  <si>
    <t>https://drive.google.com/open?id=1BirQTwI4KcMIfO6sNiKym4Xqkb_BIxTa</t>
  </si>
  <si>
    <t>https://drive.google.com/open?id=1Fi0el87XVroWE3r5Om9CnT81xTuLAy6h</t>
  </si>
  <si>
    <t>1.085701771693 2. 085701771590</t>
  </si>
  <si>
    <t>1. 085604477718 2. 081553863944 3.085850574206 4.085815664035 5.085806250225 6.08155137341 7.081554250363 8.081528644218</t>
  </si>
  <si>
    <t>https://drive.google.com/open?id=1qyK936bcO6hYNhKlXFgsa1PZHckbePjN</t>
  </si>
  <si>
    <t>https://drive.google.com/open?id=1e7BxqUFBc6q6wFQs84ExcTu_BPSvMBWT</t>
  </si>
  <si>
    <t>https://drive.google.com/open?id=1B0dINa-531OIWRROR1zecRLC54E8qklj</t>
  </si>
  <si>
    <t>085726940576</t>
  </si>
  <si>
    <t>1. 085704434846 2. 085718488441 3.0858502100005 4.085815062546 5.085784914025 6.085800578927 7.089639500306 8.089679131155 9.08982820104 10.08976859400 11.089502460075</t>
  </si>
  <si>
    <t>https://drive.google.com/open?id=1DEtOO7rvjdfSUkRMfBz-GPIqtoSkn_EN</t>
  </si>
  <si>
    <t>https://drive.google.com/open?id=1ksGywjuZjo_jgXMOUw7HX28Jjtn36MZU</t>
  </si>
  <si>
    <t>https://drive.google.com/open?id=15b97UjlHI96f71KsMaEaxfLU4JYj3VBp</t>
  </si>
  <si>
    <t>1.085729359662 2.085701771627 3.085701771580</t>
  </si>
  <si>
    <t>089679128050</t>
  </si>
  <si>
    <t>https://drive.google.com/open?id=1mfdlDEnXCM01KkVtkM7TrGI7eQoNgD5G</t>
  </si>
  <si>
    <t>https://drive.google.com/open?id=1BbyUwMsSOOO4jsXfPb9MoNHIQOaHB1y7</t>
  </si>
  <si>
    <t>https://drive.google.com/open?id=1c0fTvqx4vuURMt_GMFUKuEyI5gacxw4t</t>
  </si>
  <si>
    <t>1. 085806254079 2.085708503771 3.085850612790 4.085607061128 5.085750550990 6.0857733889144 7.085852663737 8.081554250392 9.08816201983 10.0895623387860</t>
  </si>
  <si>
    <t>https://drive.google.com/open?id=1clmA5RTGmZwAXzlOf1lHY9vecjyvhqDi</t>
  </si>
  <si>
    <t>https://drive.google.com/open?id=1ngDcPFkuicxjJOMyMJ83m3EQkhffCTkC</t>
  </si>
  <si>
    <t>https://drive.google.com/open?id=16MwCYFoAGYBQDYyHOfp-Rnn3ZzGsyvw2</t>
  </si>
  <si>
    <t>1. 085701771701 2.085701171635</t>
  </si>
  <si>
    <t>1.0857704170753 2.081559368428 3.085607887529 1.089526394028 2.08990872771</t>
  </si>
  <si>
    <t>https://drive.google.com/open?id=1u8qv4_YElhjKDQlKu6tMgxWqagmrVVWJ</t>
  </si>
  <si>
    <t>https://drive.google.com/open?id=1N4Vh5WqnZPxcgFeu6SBqcqVqA-HwmPMB</t>
  </si>
  <si>
    <t>https://drive.google.com/open?id=1JL69Pw-vsuwp1sjnEVcPrCffqRnPDdVj</t>
  </si>
  <si>
    <t>1.085701771680 2.0895634203870 3.085701771709</t>
  </si>
  <si>
    <t>1.085604001005 2.085733530802 3.089676477164 4.08967878363 5.0895332045511</t>
  </si>
  <si>
    <t>https://drive.google.com/open?id=1uAtx60CbBbFsh3uWpkfCFo-WohakX7Jc</t>
  </si>
  <si>
    <t>Zazha Adelia Soetikno</t>
  </si>
  <si>
    <t>Hi bizz</t>
  </si>
  <si>
    <t>https://drive.google.com/open?id=1EhTeeHOmJKcvwDL7gN0AR737CTV8adCn</t>
  </si>
  <si>
    <t>https://drive.google.com/open?id=1Xmzybz4firjvQE5QuS3hFz0bLcJdXcwd</t>
  </si>
  <si>
    <t>https://drive.google.com/open?id=1TpISR130cuM9GvYZY-ZkDwlyVWo2C0Z9</t>
  </si>
  <si>
    <t>https://drive.google.com/open?id=1TLIdP7j0p7z_kHCnMcHOjXzOhD0xalHN</t>
  </si>
  <si>
    <t>https://drive.google.com/open?id=1qdq200YQFunKGwmcbKq7w12-8rwUzpBw</t>
  </si>
  <si>
    <t>https://drive.google.com/open?id=1A6wrd5RSCUXGw7bmeULftdi2Ywk2NBU8</t>
  </si>
  <si>
    <t>https://drive.google.com/open?id=1KgJlPWz6u61jgaGtU_tO38veYjK2Ip_j</t>
  </si>
  <si>
    <t>Event seminar polines</t>
  </si>
  <si>
    <t>https://drive.google.com/open?id=1Xr-6clWY9L3I97jphE1h57GhuzOHKlJ_</t>
  </si>
  <si>
    <t>https://drive.google.com/open?id=1hCMqUQprD2jOwz8bXA0B3I5W33Ih8L3S</t>
  </si>
  <si>
    <t>085812427742, 085812428547, 085812428548, 085812428574, 085812428565, 085812428557,  085812428554, 085812428541, 085812428540</t>
  </si>
  <si>
    <t>https://drive.google.com/open?id=1NFjcn4BTy89ch0oNDjzQFYQpAUGi5U0h</t>
  </si>
  <si>
    <t>https://drive.google.com/open?id=1n7rSHPfal1cpIyoiPfVZRhbXH7lTdD8n</t>
  </si>
  <si>
    <t>https://drive.google.com/open?id=1LuHBNkb321PRocjYvuP3CZPsLZGKSXxN</t>
  </si>
  <si>
    <t>085812427780, 085812420626</t>
  </si>
  <si>
    <t>https://drive.google.com/open?id=1PL1xZWrAPO_jM4OZf_hxMF6R83dBbnqo</t>
  </si>
  <si>
    <t>https://drive.google.com/open?id=1c2qD1iG1zqdmLrIvWgdT-TmXm4JSgDaz</t>
  </si>
  <si>
    <t>https://drive.google.com/open?id=1L5MKpd8tmxFSmJ9eA6Zi1qSsAlGFcNw1</t>
  </si>
  <si>
    <t>085174488518</t>
  </si>
  <si>
    <t>https://drive.google.com/open?id=16XYnuce_Lhxlvw8qh5bDD5VYp1RpqXE3</t>
  </si>
  <si>
    <t>Zazha adelia soetikno</t>
  </si>
  <si>
    <t>https://drive.google.com/open?id=1iINsq6-w8ZLz22vpIVLi4A3kL7UpcWMv</t>
  </si>
  <si>
    <t>https://drive.google.com/open?id=1hjyXiRBQMArwqD11EX8-XrQi63KeoaA7</t>
  </si>
  <si>
    <t>089535967035</t>
  </si>
  <si>
    <t>https://drive.google.com/open?id=1wjv6r_bKjwT_hMvGPM4B5KnioxrvQ1qw</t>
  </si>
  <si>
    <t>Putra mandiri cell</t>
  </si>
  <si>
    <t>https://drive.google.com/open?id=1yejxZXMvR-ctHsmynQMAKF1tQOjDiz0I</t>
  </si>
  <si>
    <t>https://drive.google.com/open?id=1KnO7feiU2JIqalE80SBl96dA7lt7kRbX</t>
  </si>
  <si>
    <t>https://drive.google.com/open?id=1Ook2ja2dWudFMGMprxEJL7mBe_uxbJ5K</t>
  </si>
  <si>
    <t>https://drive.google.com/open?id=1mdPvcZoIrI7Xz0tz0P7onibFk5Fn47k-</t>
  </si>
  <si>
    <t>https://drive.google.com/open?id=1Ba2kvmJlegrS1N1cbFdk1u8K7_8m2Mmv</t>
  </si>
  <si>
    <t>085842015930, 6285801224329</t>
  </si>
  <si>
    <t>https://drive.google.com/open?id=1t5yS6ShG7RzxPMCzlPJ-Dl5cpmcXOIcE</t>
  </si>
  <si>
    <t>https://drive.google.com/open?id=1vXrN7w5kyx8jf8_2Lgvf25uZJcIhoY1S</t>
  </si>
  <si>
    <t>https://drive.google.com/open?id=1LLN104CeO35TMc5xxa7CJB7otKmdM4L4</t>
  </si>
  <si>
    <t>085791173135, 085791173164,085842015961,085842015961,085791173172,085791173148,085791173122,085791173171,085842015974,085842015975,085842015979,085842015503,085842015805,085842015912,085842015808, 085842015806</t>
  </si>
  <si>
    <t>https://drive.google.com/open?id=1VvgxBv7e6mhn5im49UX4iz-VWgFsEUnp</t>
  </si>
  <si>
    <t>Mitra cell</t>
  </si>
  <si>
    <t>https://drive.google.com/open?id=1f1C70NzyGSMGWzDRhZXeA4uY2F3IlutW</t>
  </si>
  <si>
    <t>https://drive.google.com/open?id=1ixUkqGidtXGe6ZIIbm3CQ6i_NcJGLCwv</t>
  </si>
  <si>
    <t>https://drive.google.com/open?id=1rncIrFI_FCL0o0wGoiS3ubMPxJTgCKBR</t>
  </si>
  <si>
    <t>https://drive.google.com/open?id=1OzM4ukDF_wEiC33Gwwxy61e3e3wAxM_i</t>
  </si>
  <si>
    <t>https://drive.google.com/open?id=12leE_PN9gVfNyClP_PfcC0MFDSpgD5_q</t>
  </si>
  <si>
    <t>08564913282</t>
  </si>
  <si>
    <t>https://drive.google.com/open?id=1KsFBgwYvpkZK1UYwWFPsdemxqs7hvXp-</t>
  </si>
  <si>
    <t>https://drive.google.com/open?id=1vIriRkVqmpawEpKwOUxZX6_AEiPv42vL</t>
  </si>
  <si>
    <t>https://drive.google.com/open?id=1VKdyYRBjaW9KSIyruzesTCm7UIInDFyb</t>
  </si>
  <si>
    <t>085791173599,085791173588,085791173161,085791173165, 085791173166,085842015361</t>
  </si>
  <si>
    <t>https://drive.google.com/open?id=1Mj-5w-z4i77CcvT9Lc5O6gkniVhk8XLF</t>
  </si>
  <si>
    <t xml:space="preserve">Zumalia Suci Retnowati </t>
  </si>
  <si>
    <t>Kimo cell</t>
  </si>
  <si>
    <t>https://drive.google.com/open?id=1fgFmJE2sMVpYA71STro-ZxbXEuvTs3_P</t>
  </si>
  <si>
    <t>.</t>
  </si>
  <si>
    <t>https://drive.google.com/open?id=19DnwMUSEraGmhJOCWmebvDnKw9ZPnc4G</t>
  </si>
  <si>
    <t>https://drive.google.com/open?id=1yqq498E50Eo8cKwAJHXAyZ4IuQBSUUMN</t>
  </si>
  <si>
    <t>085640075130, 089525608574, 089699089887, 0895423716868, 0895321446509, 089630640976, 089514775897</t>
  </si>
  <si>
    <t>089525608574</t>
  </si>
  <si>
    <t>https://drive.google.com/open?id=19hRDWlMk8TuGYdyg2nCX1iiA707ZXSKd</t>
  </si>
  <si>
    <t>https://drive.google.com/open?id=11wai4tAigCfQMFDazWMr0_Y8IbxL-cbl</t>
  </si>
  <si>
    <t>https://drive.google.com/open?id=1uXUcnKHePY7515h730qKnkvaE_2AXV3E</t>
  </si>
  <si>
    <t>08952713817</t>
  </si>
  <si>
    <t>https://drive.google.com/open?id=1nbWmf74E8l5GliFO1pYxaI7UotSamfk8</t>
  </si>
  <si>
    <t>8 ( 085800112935,085722122183,0856433161466,089512852986,089684148223,085729172026,0895339350705,08952713817</t>
  </si>
  <si>
    <t>https://drive.google.com/open?id=1Z6IcJYqb9H7aVskKA1EJ2r5USBuM_qdK</t>
  </si>
  <si>
    <t>https://drive.google.com/open?id=1NEb9g0F9jH6oYju2igOFo0XeQkzNVZfh</t>
  </si>
  <si>
    <t>https://drive.google.com/open?id=1K6oCPgLNnhOTLdNlwNJrJGJXsC3jsY63</t>
  </si>
  <si>
    <t>8 (085738321887,085738321902,08157695599,089671399030,0895422861171,085719218340,085788896437,089530933111</t>
  </si>
  <si>
    <t xml:space="preserve">Kimo cell </t>
  </si>
  <si>
    <t>https://drive.google.com/open?id=1cC--b1J_f9Xy9uSMhHNUKaXRr4jEgZNJ</t>
  </si>
  <si>
    <t>https://drive.google.com/open?id=14AoaoChDXe4nXx64GFJOJXI7bBcv6Dby</t>
  </si>
  <si>
    <t>https://drive.google.com/open?id=1AXJbIjcJFmT1Dm0Pm3mtUYiQN7UE2oTI</t>
  </si>
  <si>
    <t>5 (089695017040,085876274120,08987434843,085867929746,0895808743456</t>
  </si>
  <si>
    <t>https://drive.google.com/open?id=1PA_CMtDYMUAlgkSixQSD68-mKH9MsZ1z</t>
  </si>
  <si>
    <t>https://drive.google.com/open?id=1SvwR5ItZHGJGhfRS2cvkroAhqjyKbBH6</t>
  </si>
  <si>
    <t>085748992304, 085697571283, 085604654801, 085732743457</t>
  </si>
  <si>
    <t>https://drive.google.com/open?id=135DiGjMX28m9QJfUXQNNWTpd-dqMxbm1</t>
  </si>
  <si>
    <t>https://drive.google.com/open?id=14FROsu6h5v3ofwvJw9Az7jbsdAtnk9Rq</t>
  </si>
  <si>
    <t>https://drive.google.com/open?id=1DxOEtDFAwkkUg3w6kUMG8qAqQn6wzSiH</t>
  </si>
  <si>
    <t xml:space="preserve">085791273297 0895645151639 085746463718  0895625362233  085746463718  </t>
  </si>
  <si>
    <t>https://drive.google.com/open?id=1vWIWC1PMRKy8D53m0NoFGgsbvx81lmYe</t>
  </si>
  <si>
    <t>https://drive.google.com/open?id=1ld7NHUfsfWXwWCdv6txMlRxtbOTsRHtH</t>
  </si>
  <si>
    <t>https://drive.google.com/open?id=1MF4vd-m7x7E7O_uIWCQ0a5srTP0C-rrT</t>
  </si>
  <si>
    <t>085728001192</t>
  </si>
  <si>
    <t>0896 750 30502  0858 9578 6601  085707076372  085710235558  0898 4577618</t>
  </si>
  <si>
    <t>https://drive.google.com/open?id=1KZsjnDQRNlmZzhYHDtYZkDsNp_WPBb4z</t>
  </si>
  <si>
    <t>https://drive.google.com/open?id=1gPrSKwr1Tv1MU8d-3hWNBa3QDOW04IUk</t>
  </si>
  <si>
    <t>https://drive.google.com/open?id=1CS5d1fV0LRIqCjGRXTAH4FR6VZZk-E7v</t>
  </si>
  <si>
    <t xml:space="preserve">085728001175 0895629534057 0895629534058 </t>
  </si>
  <si>
    <t>0895421846926  08967323 2061  085 64 655 8750 089516186430  085842779728  089518963484</t>
  </si>
  <si>
    <t>https://drive.google.com/open?id=1i_VzxDt56fPQb7_w8z2Gptxm2JZhjWG7</t>
  </si>
  <si>
    <t>https://drive.google.com/open?id=1qKOIdVzKVVTmiOIqfDyAF69jE3n-d0an</t>
  </si>
  <si>
    <t>https://drive.google.com/open?id=1EAWE-5hK0X9WXlETW_E-RRROuvEE4tN4</t>
  </si>
  <si>
    <t>0895629558424  0895629558422</t>
  </si>
  <si>
    <t xml:space="preserve">0815515111695  085895336839 085704418070  089654632789 0895621109265 </t>
  </si>
  <si>
    <t>https://drive.google.com/open?id=1eMZufyrp3gfKgGLXu1qTwze50OJythS6</t>
  </si>
  <si>
    <t>https://drive.google.com/open?id=1O5dIfhgtS3aoNIeIEwIcF7VE4GuTVzgX</t>
  </si>
  <si>
    <t>https://drive.google.com/open?id=1ByuNQNQe5JLmKpSLo8rJSurkTTp9C6l_</t>
  </si>
  <si>
    <t>https://drive.google.com/open?id=16k5r0oQo5GcuLH-YEfM1_7qMtZEAqJMu</t>
  </si>
  <si>
    <t>https://drive.google.com/open?id=1f2MpPL0SPpTxk7tXugnIV4V5XCRpmBL_</t>
  </si>
  <si>
    <t>https://drive.google.com/open?id=1wbrVAGwvnHkVfozdvs_weUtRHvVPe7tq</t>
  </si>
  <si>
    <t>085842015464</t>
  </si>
  <si>
    <t>085866843519/081548118590/089541778996/089675300205/085876193976/0895367093967/085740759406/085647572500/089721022666/081568406809/089536036732/085728628962/085803685448/085741634877/089526943131</t>
  </si>
  <si>
    <t>https://drive.google.com/open?id=10IgZX1kL49sI5k9pg7yDwWXwDigX9wZB</t>
  </si>
  <si>
    <t>https://drive.google.com/open?id=1zErZ9JydLQ2Gqdj0jIV3gkHnwVXTc8gh</t>
  </si>
  <si>
    <t>https://drive.google.com/open?id=155jRo3ix1QB8xHeb985Zx2r8NlhnwXFA</t>
  </si>
  <si>
    <t>089681998373</t>
  </si>
  <si>
    <t>https://drive.google.com/open?id=1CqJpIO6N7mHF02YxMFyqIdLvgBjV3Okm</t>
  </si>
  <si>
    <t>https://drive.google.com/open?id=1b_yUvZDvrhVbQ0k2k3uW5fMnbpHnnz7J</t>
  </si>
  <si>
    <t>https://drive.google.com/open?id=1VBU5YMjp3kMfhqyqamOPHXk7Eyg0GMsz</t>
  </si>
  <si>
    <t>https://drive.google.com/open?id=1FEaOXWFxlEg6vIE3W2gIdJ0rVxN7qBT3</t>
  </si>
  <si>
    <t>https://drive.google.com/open?id=1DrhimAbutNCeS670twSkWbUxGfQUpEEF</t>
  </si>
  <si>
    <t>https://drive.google.com/open?id=1ZKNIVF3Wuzkci9LieeOJeFoHEhW2aSTA</t>
  </si>
  <si>
    <t>https://drive.google.com/open?id=1TQcLxh4cK42Ey_OHqyVALWJJS9XHUIrc</t>
  </si>
  <si>
    <t>https://drive.google.com/open?id=141-ZZo6lgNXp5EA0VztGNB9InfBZRpWh</t>
  </si>
  <si>
    <t>https://drive.google.com/open?id=1DwygsyXjqcvJGSuu3Ml3axRc3dbWdWpT</t>
  </si>
  <si>
    <t>https://drive.google.com/open?id=18Qf1b5hR7F69mxuz3d_Xgd537t0a7D2a</t>
  </si>
  <si>
    <t>https://drive.google.com/open?id=161N8u38b4eo-MR9QQclXm_1_H_ol6Xnj</t>
  </si>
  <si>
    <t>https://drive.google.com/open?id=1bogkvAf4FIj-145wrgxcjieM-fiNCzn5</t>
  </si>
  <si>
    <t>085707120432,081529282787 ,085791173871</t>
  </si>
  <si>
    <t>0895049987197,0895320603173, 0895611493520</t>
  </si>
  <si>
    <t>https://drive.google.com/open?id=1aKjzLPFyRi4LTKWXgQ2zum0ej8hbAl-C</t>
  </si>
  <si>
    <t>https://drive.google.com/open?id=1Re4xySdHoXXbzhtIkdCtVA9hgCkdgSwu</t>
  </si>
  <si>
    <t>https://drive.google.com/open?id=1yWkbTUSqTtxEu9c0xtl8xPIgXvVRIQs4</t>
  </si>
  <si>
    <t>089563252327 , 0895633844390, 089509396676</t>
  </si>
  <si>
    <t xml:space="preserve">085709980612 , 089673499234,08976705194,0895622995017 </t>
  </si>
  <si>
    <t>https://drive.google.com/open?id=1Jd0YP0D0XRo6fiJZwZggUyGXTOhh3cTZ</t>
  </si>
  <si>
    <t>Ika isnaini</t>
  </si>
  <si>
    <t>https://drive.google.com/open?id=1Js7s7O0_qEKqyBy25YSzfnisSecqHofG</t>
  </si>
  <si>
    <t>https://drive.google.com/open?id=19FPLSKJ-1cDbWliLjoZSJ03V58x694G9</t>
  </si>
  <si>
    <t>085655109432</t>
  </si>
  <si>
    <t>https://drive.google.com/open?id=1oflzJ0KaF6s-oMRjNqA80-p-tnhceL3w</t>
  </si>
  <si>
    <t>https://drive.google.com/open?id=16oxC-c9tbSoFkGjnomjs1neLOOK6u9KU</t>
  </si>
  <si>
    <t>https://drive.google.com/open?id=1LBVM7FSkeOvvcVlOmaYt0myCbd5nGKRT</t>
  </si>
  <si>
    <t>https://drive.google.com/open?id=12xOS-DrSJ27p570L2XsEeeFhjeMZadY_</t>
  </si>
  <si>
    <t>Imanuel Levi</t>
  </si>
  <si>
    <t>President Cell</t>
  </si>
  <si>
    <t>https://drive.google.com/open?id=1MDwWccIhH8Vv_XUrHX6XlymtF2hx1xkz</t>
  </si>
  <si>
    <t>https://drive.google.com/open?id=1rtPdwYXQs1lO5TZoSezX0-AsLWs_XrD7</t>
  </si>
  <si>
    <t>085792005389</t>
  </si>
  <si>
    <t>https://drive.google.com/open?id=1FoGt7_8yiGHL782jQf5o4TC5nHZcwVdL</t>
  </si>
  <si>
    <t>https://drive.google.com/open?id=1Rh5AYOp2IdAZoTdGqoxPrmuaB49he2Oi</t>
  </si>
  <si>
    <t>https://drive.google.com/open?id=11Jq2hlyShHrAhImX1y8bFpuVdd2HFPdf</t>
  </si>
  <si>
    <t>089682619822, 089682618955</t>
  </si>
  <si>
    <t>085540580396, 085842923963, 085728546164</t>
  </si>
  <si>
    <t>https://drive.google.com/open?id=1BuXEmN447ijxXbgMl5EYBRhR1ziS1UZn</t>
  </si>
  <si>
    <t>https://drive.google.com/open?id=1jKaHOO9gLiCvccFplFQoG-2S3vfbfEci</t>
  </si>
  <si>
    <t>https://drive.google.com/open?id=1wh5pdmLjckDVIBEg-qJCjUrXaxy3Y55S</t>
  </si>
  <si>
    <t>https://drive.google.com/open?id=1l_StfexZmXgUt5g1Pj7TlICT79Zz-6tQ</t>
  </si>
  <si>
    <t>https://drive.google.com/open?id=1t_ozPK9lIviU3mPe35vWjzAp65MBOgFK</t>
  </si>
  <si>
    <t>https://drive.google.com/open?id=1kULodtgZf9v1jXL3a6gMxBL0a_qOhiMi</t>
  </si>
  <si>
    <t>089671862740, 089671862748</t>
  </si>
  <si>
    <t>089647322988, 089628115730, 085601836976, 089688049896,08996717823,0895622989306</t>
  </si>
  <si>
    <t>https://drive.google.com/open?id=1JZylQUzZoavXgqrz_2EYXRqO59L3znhq</t>
  </si>
  <si>
    <t>https://drive.google.com/open?id=1mkf58tqaKaCgSTnpruWlJAvCAFBKkrqH</t>
  </si>
  <si>
    <t>https://drive.google.com/open?id=166aoOsYEl30ukdI8J7Md2mbAs3Ka0V1Y</t>
  </si>
  <si>
    <t>085875066391, 085726096382, 085643757173</t>
  </si>
  <si>
    <t>085859032985, 085875066365, 085791207591, 085712409512, 085867833510, 085733504434, 085649814079, 085800113920, 085850142742, 0895384717100, 085785753928</t>
  </si>
  <si>
    <t>https://drive.google.com/open?id=1LQoGgAqPMGISjzC3tDOYUftJt0dnSYDK</t>
  </si>
  <si>
    <t>https://drive.google.com/open?id=1DdLXLq3QynBbmRJw8QXPRXGEyXNZfC7Z</t>
  </si>
  <si>
    <t>https://drive.google.com/open?id=1hL8hDWHWTzA3gRcAUP3-ABtLtCO9PZyV</t>
  </si>
  <si>
    <t>089667165522</t>
  </si>
  <si>
    <t>0895428893183</t>
  </si>
  <si>
    <t>https://drive.google.com/open?id=1oyEShjFVGSLv6g2kJXOT-s9ibLXAC_Ri</t>
  </si>
  <si>
    <t>https://drive.google.com/open?id=1tOfeN9G9KCeuzF9s8OsxFHLKarbn_iR_</t>
  </si>
  <si>
    <t>https://drive.google.com/open?id=1U8N6SqPURI5Q0rI3urEE9yQ9jAOZpQXR</t>
  </si>
  <si>
    <t>https://drive.google.com/open?id=1es9fj-5uSiHU-zt_VeDQbJQKf38sGqHV</t>
  </si>
  <si>
    <t>https://drive.google.com/open?id=1PWd4HpjpbG5HadSKgTAAFygIYTfZq00F</t>
  </si>
  <si>
    <t>https://drive.google.com/open?id=1i4ONuu_MOkdUVgaCSzVO8N8URdbCMFLZ</t>
  </si>
  <si>
    <t>1.085748701705 2.085606607854 3.085773914601 4.085869240729  5.085645123163   6.085735341559  Re Buy Three-  1.08973708488</t>
  </si>
  <si>
    <t>https://drive.google.com/open?id=1wh0GWV7-jT0hZlC1jQHe7MpN2FUoYnYY</t>
  </si>
  <si>
    <t>https://drive.google.com/open?id=1sr1cXDmoJaUSyeDbYTB4nT8toZYXLr3U</t>
  </si>
  <si>
    <t>https://drive.google.com/open?id=1rj7Z23xk2kzuzKcv85XGZt0I7wigF3Pw</t>
  </si>
  <si>
    <t>0895635071214 , 085806040734</t>
  </si>
  <si>
    <t xml:space="preserve">085808403767 , 085706037804 , 085607027524 , 08563053412 , 089657422333 , AON 9Gb , Happy 7Gb  </t>
  </si>
  <si>
    <t>https://drive.google.com/open?id=1qldvN1xEFAzfMmri1qqQH2EeHoEgBbkk</t>
  </si>
  <si>
    <r>
      <t xml:space="preserve">Upload Foto </t>
    </r>
    <r>
      <rPr>
        <rFont val="Arial"/>
        <b/>
        <color theme="1"/>
      </rPr>
      <t xml:space="preserve">Kehadiran </t>
    </r>
    <r>
      <rPr>
        <rFont val="Arial"/>
        <color theme="1"/>
      </rPr>
      <t>dengan Time Stamp (untuk Bukti Kehadiran)</t>
    </r>
  </si>
  <si>
    <r>
      <t xml:space="preserve">Upload Foto </t>
    </r>
    <r>
      <rPr>
        <rFont val="Arial"/>
        <b/>
        <color theme="1"/>
      </rPr>
      <t xml:space="preserve">Kepulangan </t>
    </r>
    <r>
      <rPr>
        <rFont val="Arial"/>
        <color theme="1"/>
      </rPr>
      <t>dengan Time Stamp (untuk Bukti Kepulangan)</t>
    </r>
  </si>
  <si>
    <t>081918190352</t>
  </si>
  <si>
    <t>086112457603</t>
  </si>
  <si>
    <t>https://drive.google.com/open?id=1Zf154JzyIsnKcCjoaiMDj6smMORMmE11</t>
  </si>
  <si>
    <t>078035180524</t>
  </si>
  <si>
    <t>086365369789</t>
  </si>
  <si>
    <t>https://drive.google.com/open?id=1d6-B-E9J0gX_4S5aKXSfyt9Wo1iPv_I9</t>
  </si>
  <si>
    <t>1. 085733621125 2. 085749549485 3. 085645452029 4. 085773769635</t>
  </si>
  <si>
    <t>1. 089504744464 2. 085536930726 3. 0895399488278</t>
  </si>
  <si>
    <t>https://drive.google.com/open?id=1xuZtx1naQDp3wkPPgrUNQgafjg-sKTs3</t>
  </si>
  <si>
    <t>1. 085732317400 2. 085806042745 3. 08574177532 4. 089507312456</t>
  </si>
  <si>
    <t>085652170381</t>
  </si>
  <si>
    <t>085548482863</t>
  </si>
  <si>
    <t>21 edukasi gemini di kampus</t>
  </si>
  <si>
    <t>8564516 4944 085791943323 0895 42 37 13578 0895639052073   085806555510</t>
  </si>
  <si>
    <t>https://drive.google.com/open?id=1KYCYjs9raBFhFi5MYJdOjEeborPg04f8</t>
  </si>
  <si>
    <t>895411958999  0895402526994  085646539945  085741116861  0856 04427779  08563423235  087856955350 085649272163  085738677184  085730127697 085730127697</t>
  </si>
  <si>
    <t>85649720019 085707964322  087842221767 085743474651 087812271027 085852903096 08989894602 085854370752  085701754071 085707964322</t>
  </si>
  <si>
    <t>King Tronik 3</t>
  </si>
  <si>
    <t>https://drive.google.com/open?id=1s5A23fhoQXag_Np41E0Sn_AmwtiAOI99</t>
  </si>
  <si>
    <t>0895622995018</t>
  </si>
  <si>
    <t>89602333259 089602338594 085725110191</t>
  </si>
  <si>
    <t>https://drive.google.com/open?id=15VEFiXchewIvCDCmkfAjq1DdkdZhfUU3</t>
  </si>
  <si>
    <t>* 9</t>
  </si>
  <si>
    <t>* 3</t>
  </si>
  <si>
    <t>1.089673499234   2. 0895634252329</t>
  </si>
  <si>
    <t>https://drive.google.com/open?id=1gjS8pZYc6-gNFQSk-GByhtMt0cr6d023</t>
  </si>
  <si>
    <t>*9</t>
  </si>
  <si>
    <t>*1</t>
  </si>
  <si>
    <t>SUM of Jumlah aktivasi Gemini dari orang yang diedukasi</t>
  </si>
  <si>
    <t>Total Achievement</t>
  </si>
  <si>
    <t>Area Penempatan Total</t>
  </si>
  <si>
    <t>Denpasar Total</t>
  </si>
  <si>
    <t>Gianyar Total</t>
  </si>
  <si>
    <t>Jember Total</t>
  </si>
  <si>
    <t>Malang Total</t>
  </si>
  <si>
    <t>Semarang Total</t>
  </si>
  <si>
    <t>Singaraja Total</t>
  </si>
  <si>
    <t>Sleman Total</t>
  </si>
  <si>
    <t>Solo Total</t>
  </si>
  <si>
    <t>Surabaya Total</t>
  </si>
  <si>
    <t>Yogyakarta Total</t>
  </si>
  <si>
    <t>KPI Targeted Promotor for All Region</t>
  </si>
  <si>
    <t>Performance Promotor</t>
  </si>
  <si>
    <t>COUNTUNIQUE of Nama Promotor</t>
  </si>
  <si>
    <t>Targeted New Acquisitions</t>
  </si>
  <si>
    <t>Targeted Rebuy</t>
  </si>
  <si>
    <t>Performance Acqusition</t>
  </si>
  <si>
    <t>Performance Rebuy</t>
  </si>
  <si>
    <t>Edukasi</t>
  </si>
  <si>
    <t>Rebuy</t>
  </si>
  <si>
    <t>Akusisi</t>
  </si>
  <si>
    <t>Aktivasi Gemini</t>
  </si>
  <si>
    <t>Vacant</t>
  </si>
  <si>
    <t>Bali Nusra Total</t>
  </si>
  <si>
    <t>Central Java (Jateng) Total</t>
  </si>
  <si>
    <t>East Java (Jatim) Total</t>
  </si>
  <si>
    <t>per grand total</t>
  </si>
  <si>
    <t>Region Total</t>
  </si>
  <si>
    <t>Upselling Activations</t>
  </si>
  <si>
    <t>Week 1</t>
  </si>
  <si>
    <t>Week 2</t>
  </si>
  <si>
    <t>Week 3</t>
  </si>
  <si>
    <t>Week 4</t>
  </si>
  <si>
    <t>Accumulation</t>
  </si>
  <si>
    <t>Ranking East Java</t>
  </si>
  <si>
    <t>Ranking Central Java</t>
  </si>
  <si>
    <t>Ranking Bali Nusra</t>
  </si>
  <si>
    <t xml:space="preserve">Alif </t>
  </si>
  <si>
    <t>Updated Promotor</t>
  </si>
  <si>
    <t>BRANCH</t>
  </si>
  <si>
    <t>PROMOTOR IM3</t>
  </si>
  <si>
    <t>PROMOTOR 3ID</t>
  </si>
  <si>
    <t>Tasya Intan Maharani</t>
  </si>
  <si>
    <t>Khafied</t>
  </si>
  <si>
    <t>Ryan Shobwatur (resign 8 jul)</t>
  </si>
  <si>
    <t>Fransisca Meita W</t>
  </si>
  <si>
    <t xml:space="preserve">Vina Lailatul </t>
  </si>
  <si>
    <t>Arifa dziya</t>
  </si>
  <si>
    <t>Lubna Intan</t>
  </si>
  <si>
    <t>Hafis Yosya Pradana</t>
  </si>
  <si>
    <t>Aditya Pratama</t>
  </si>
  <si>
    <t>Rizal (mundur per hari ini)</t>
  </si>
  <si>
    <t>Novik Resya (resign 01/07/26)</t>
  </si>
  <si>
    <t>Chestya Sayyidina (resign 02/07/26)</t>
  </si>
  <si>
    <t>Total</t>
  </si>
  <si>
    <t>Rebeka Tiara Busono</t>
  </si>
  <si>
    <t>Dimas Faizal</t>
  </si>
  <si>
    <t>Devi Kumala Novianti</t>
  </si>
  <si>
    <t>M Raffi</t>
  </si>
  <si>
    <t>Zumalia Suci Retnowati</t>
  </si>
  <si>
    <t>Emillia Margaretha</t>
  </si>
  <si>
    <t>Septy Maulida</t>
  </si>
  <si>
    <t>Fandi ahmad (resign 01/07/26)</t>
  </si>
  <si>
    <t>Erni Farida</t>
  </si>
  <si>
    <t>Destya Kamila</t>
  </si>
  <si>
    <t>Tegas Galang Pamungkas</t>
  </si>
  <si>
    <t xml:space="preserve">Neha naura herwin </t>
  </si>
  <si>
    <t>Aulia Farah</t>
  </si>
  <si>
    <t>Penggalang Siswoyo</t>
  </si>
  <si>
    <t>Retha</t>
  </si>
  <si>
    <t>Keiky Junieta Sari</t>
  </si>
  <si>
    <t>M Rheiza Prasanjaya</t>
  </si>
  <si>
    <t>Alviyan G</t>
  </si>
  <si>
    <t>Predika Tri Aditya</t>
  </si>
  <si>
    <t xml:space="preserve">Ulfa Faizatul Laily </t>
  </si>
  <si>
    <t>Nur Eka Junianti Harahap</t>
  </si>
  <si>
    <t>Resita putri anggraini</t>
  </si>
  <si>
    <t>Nila Mustika Sri</t>
  </si>
  <si>
    <t>Ika adhelia</t>
  </si>
  <si>
    <t>Dinda Nur A</t>
  </si>
  <si>
    <t>Sidoarjo</t>
  </si>
  <si>
    <t>Nanda Dwi</t>
  </si>
  <si>
    <t>Yani (mundur per hari ini)</t>
  </si>
  <si>
    <t>Purwokerto</t>
  </si>
  <si>
    <t>Aufa Amaliatun</t>
  </si>
  <si>
    <t>Tanda mundur/ Belum Fiks</t>
  </si>
  <si>
    <t>Upload Foto Kehadiran dengan Time Stamp (untuk Bukti Kehadiran)</t>
  </si>
  <si>
    <t>Upload Foto Kepulangan dengan Time Stamp (untuk Bukti Kepulangan)</t>
  </si>
  <si>
    <t>Acquisition</t>
  </si>
  <si>
    <t>GEMINI</t>
  </si>
  <si>
    <t>Target</t>
  </si>
  <si>
    <t>Actual</t>
  </si>
  <si>
    <t>% ACh</t>
  </si>
  <si>
    <t>Claim</t>
  </si>
  <si>
    <t>Sekar</t>
  </si>
  <si>
    <t>date</t>
  </si>
  <si>
    <t>Central JAVA</t>
  </si>
  <si>
    <t>QUICK COUNT ( REAL TIME)</t>
  </si>
  <si>
    <t>KAMPUS</t>
  </si>
  <si>
    <t>OUTLET</t>
  </si>
  <si>
    <t>PROMOTOR</t>
  </si>
  <si>
    <t>STATUS ONBOARD</t>
  </si>
  <si>
    <t>TANGGAL ONBOARD</t>
  </si>
  <si>
    <t>Masa Kerja</t>
  </si>
  <si>
    <t>EDUKASI</t>
  </si>
  <si>
    <t>REBUY</t>
  </si>
  <si>
    <t>AKUISISI</t>
  </si>
  <si>
    <t xml:space="preserve">UAD </t>
  </si>
  <si>
    <t>UTY</t>
  </si>
  <si>
    <t>PGRI</t>
  </si>
  <si>
    <t>ISI</t>
  </si>
  <si>
    <t>TUNGGU KONFIRM</t>
  </si>
  <si>
    <t>UNNES &amp; UNWAHAS</t>
  </si>
  <si>
    <t>Unika</t>
  </si>
  <si>
    <t>UDINUS</t>
  </si>
  <si>
    <t>STIE Dharma Putra</t>
  </si>
  <si>
    <t>UNDIP</t>
  </si>
  <si>
    <t>Polines</t>
  </si>
  <si>
    <t>USM</t>
  </si>
  <si>
    <t>UIN Walisongo</t>
  </si>
  <si>
    <t>UNWAHAZ</t>
  </si>
  <si>
    <t>Aristo Card</t>
  </si>
  <si>
    <t>semarang</t>
  </si>
  <si>
    <t>UNIMUS</t>
  </si>
  <si>
    <t>UNS</t>
  </si>
  <si>
    <t>UMS</t>
  </si>
  <si>
    <t>UTP &amp; AUB</t>
  </si>
  <si>
    <t>UIN RM Said</t>
  </si>
  <si>
    <t>UIN</t>
  </si>
  <si>
    <t>UII</t>
  </si>
  <si>
    <t>INTERVIEW HARI INI</t>
  </si>
  <si>
    <t>AREA PENEMPATAN</t>
  </si>
  <si>
    <t>JUMLAH PROMOTOR</t>
  </si>
  <si>
    <t>rebuy Total</t>
  </si>
  <si>
    <t>Promotor</t>
  </si>
  <si>
    <t>No</t>
  </si>
  <si>
    <t>NAMA PROMOTOR</t>
  </si>
  <si>
    <t>TANGGAL MASUK ONBOARD</t>
  </si>
  <si>
    <t>GEMINI CLAIM</t>
  </si>
  <si>
    <t xml:space="preserve">Chestya Sayyidina </t>
  </si>
  <si>
    <t>Fandi ahmad</t>
  </si>
  <si>
    <t>18 promotor</t>
  </si>
  <si>
    <t>EDUKASI TOTAL</t>
  </si>
  <si>
    <t>REBUY TOTAL</t>
  </si>
  <si>
    <t>AKUISISI TOTAL</t>
  </si>
  <si>
    <t>AREA</t>
  </si>
  <si>
    <t>BALI BARAT</t>
  </si>
  <si>
    <t>BADUNG</t>
  </si>
  <si>
    <t>TBC</t>
  </si>
  <si>
    <t>Tbc</t>
  </si>
  <si>
    <t>SINGARAJA</t>
  </si>
  <si>
    <t>LUBNA INTAN</t>
  </si>
  <si>
    <t>1 Juli</t>
  </si>
  <si>
    <t>MADE SUPARNI</t>
  </si>
  <si>
    <t>BALI TIMUR</t>
  </si>
  <si>
    <t>DENPASAR</t>
  </si>
  <si>
    <t xml:space="preserve">Ryan shobwatur Rizal </t>
  </si>
  <si>
    <t>NAZWA LAILI</t>
  </si>
  <si>
    <t>JEDITHIO</t>
  </si>
  <si>
    <t>DITA WAHYU ANJANI</t>
  </si>
  <si>
    <t>GIANYAR</t>
  </si>
  <si>
    <t>10 promotor</t>
  </si>
  <si>
    <t>NUR EKA JUNIANTI HARAHAP</t>
  </si>
  <si>
    <t>SOLO</t>
  </si>
  <si>
    <t>29/06/26</t>
  </si>
  <si>
    <t>EVA DIANA SARI</t>
  </si>
  <si>
    <t>NATALIA RIZKI ARIA WIJAYA</t>
  </si>
  <si>
    <t>JOGJA</t>
  </si>
  <si>
    <t>27/06/26</t>
  </si>
  <si>
    <t>NIA FEBRIYANTI</t>
  </si>
  <si>
    <t>22/06/26</t>
  </si>
  <si>
    <t>VIAN ERVIANA REILYANI</t>
  </si>
  <si>
    <t>SUGIYANTI</t>
  </si>
  <si>
    <t>REBEKA TIARA BUSONO</t>
  </si>
  <si>
    <t>Kampus uin kalijaga yogyakarta</t>
  </si>
  <si>
    <t>Via</t>
  </si>
  <si>
    <t>Mobile</t>
  </si>
  <si>
    <t>Ika</t>
  </si>
  <si>
    <t xml:space="preserve">Nurul Hidayah </t>
  </si>
  <si>
    <t>Neha naura herwin</t>
  </si>
  <si>
    <t xml:space="preserve">NOOR ROOFI JUNMANTINI </t>
  </si>
  <si>
    <t>Semarang selatan</t>
  </si>
  <si>
    <t>neha naura herwin</t>
  </si>
  <si>
    <t>Areauin</t>
  </si>
  <si>
    <t>COUNTA of Jumlah penjualan Kartu Perdana - isi dengan angka. Cth: 2 
(Target 30 hari: 100 Kartu Perdana terjual)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</si>
</sst>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"/>
    <numFmt numFmtId="165" formatCode="mm/dd/yyyy"/>
    <numFmt numFmtId="166" formatCode="m/d/yyyy"/>
    <numFmt numFmtId="167" formatCode="d mmm"/>
    <numFmt numFmtId="168" formatCode="0.0%"/>
    <numFmt numFmtId="169" formatCode="mm/dd/yy"/>
  </numFmts>
  <fonts count="48">
    <font>
      <sz val="10.0"/>
      <color rgb="FF000000"/>
      <name val="Arial"/>
      <scheme val="minor"/>
    </font>
    <font>
      <b/>
      <color rgb="FFFFFFFF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color theme="1"/>
      <name val="Comfortaa"/>
    </font>
    <font>
      <sz val="11.0"/>
      <color theme="1"/>
      <name val="Comfortaa"/>
    </font>
    <font>
      <color theme="1"/>
      <name val="Arial"/>
    </font>
    <font>
      <u/>
      <color rgb="FF0000FF"/>
      <name val="Roboto"/>
    </font>
    <font>
      <sz val="10.0"/>
      <color rgb="FF434343"/>
      <name val="Arial"/>
      <scheme val="minor"/>
    </font>
    <font>
      <u/>
      <color rgb="FF434343"/>
      <name val="Roboto"/>
    </font>
    <font>
      <u/>
      <color rgb="FF434343"/>
      <name val="Roboto"/>
    </font>
    <font>
      <u/>
      <color rgb="FF0000FF"/>
      <name val="Roboto"/>
    </font>
    <font>
      <color rgb="FF434343"/>
      <name val="Roboto"/>
    </font>
    <font>
      <b/>
      <color rgb="FF274E13"/>
      <name val="Comfortaa"/>
    </font>
    <font>
      <b/>
      <sz val="18.0"/>
      <color theme="1"/>
      <name val="Comfortaa"/>
    </font>
    <font>
      <b/>
      <color rgb="FFFFFFFF"/>
      <name val="Comfortaa"/>
    </font>
    <font>
      <i/>
      <color theme="1"/>
      <name val="Comfortaa"/>
    </font>
    <font>
      <color rgb="FFFFFFFF"/>
      <name val="Comfortaa"/>
    </font>
    <font>
      <b/>
      <color theme="1"/>
      <name val="Comfortaa"/>
    </font>
    <font>
      <b/>
      <sz val="13.0"/>
      <color rgb="FF999999"/>
      <name val="Comfortaa"/>
    </font>
    <font>
      <b/>
      <sz val="15.0"/>
      <color rgb="FF000000"/>
      <name val="Comfortaa"/>
    </font>
    <font>
      <b/>
      <sz val="15.0"/>
      <color rgb="FFE51687"/>
      <name val="Comfortaa"/>
    </font>
    <font>
      <color rgb="FFFFFFFF"/>
      <name val="Arial"/>
      <scheme val="minor"/>
    </font>
    <font>
      <color theme="1"/>
      <name val="Montserrat"/>
    </font>
    <font>
      <color rgb="FFFFFFFF"/>
      <name val="Arial"/>
    </font>
    <font>
      <color theme="0"/>
      <name val="Montserrat"/>
    </font>
    <font>
      <b/>
      <sz val="16.0"/>
      <color rgb="FF6FA8DC"/>
      <name val="Arial"/>
      <scheme val="minor"/>
    </font>
    <font>
      <b/>
      <sz val="15.0"/>
      <color theme="1"/>
      <name val="Comfortaa"/>
    </font>
    <font>
      <sz val="13.0"/>
      <color theme="1"/>
      <name val="Comfortaa"/>
    </font>
    <font>
      <sz val="11.0"/>
      <color rgb="FF000000"/>
      <name val="&quot;Aptos Narrow&quot;"/>
    </font>
    <font>
      <u/>
      <sz val="11.0"/>
      <color rgb="FF0000FF"/>
    </font>
    <font>
      <b/>
      <color rgb="FFFFFF00"/>
      <name val="Arial"/>
      <scheme val="minor"/>
    </font>
    <font>
      <b/>
      <color rgb="FFFF00FF"/>
      <name val="Arial"/>
      <scheme val="minor"/>
    </font>
    <font>
      <sz val="11.0"/>
      <color rgb="FFFF0000"/>
      <name val="Arial"/>
      <scheme val="minor"/>
    </font>
    <font>
      <b/>
      <sz val="10.0"/>
      <color rgb="FF000000"/>
      <name val="&quot;Aptos Narrow&quot;"/>
    </font>
    <font>
      <color rgb="FFFF0000"/>
      <name val="Arial"/>
      <scheme val="minor"/>
    </font>
    <font>
      <color rgb="FF000000"/>
      <name val="Arial"/>
      <scheme val="minor"/>
    </font>
    <font>
      <sz val="11.0"/>
      <color rgb="FF000000"/>
      <name val="Arial"/>
      <scheme val="minor"/>
    </font>
    <font>
      <sz val="10.0"/>
      <color rgb="FF000000"/>
      <name val="&quot;Aptos Narrow&quot;"/>
    </font>
    <font>
      <b/>
      <color rgb="FF434343"/>
      <name val="Roboto"/>
    </font>
    <font>
      <b/>
      <sz val="11.0"/>
      <color theme="1"/>
      <name val="Arial"/>
      <scheme val="minor"/>
    </font>
    <font>
      <u/>
      <color rgb="FF0000FF"/>
    </font>
    <font>
      <b/>
      <color rgb="FF000000"/>
      <name val="Arial"/>
      <scheme val="minor"/>
    </font>
    <font>
      <sz val="11.0"/>
      <color rgb="FF000000"/>
      <name val="Arial"/>
    </font>
    <font>
      <sz val="10.0"/>
      <color theme="1"/>
      <name val="Arial"/>
      <scheme val="minor"/>
    </font>
    <font>
      <sz val="10.0"/>
      <color rgb="FFFF0000"/>
      <name val="Arial"/>
    </font>
    <font>
      <sz val="11.0"/>
      <color rgb="FF000000"/>
      <name val="Calibri"/>
    </font>
  </fonts>
  <fills count="28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8F9FA"/>
        <bgColor rgb="FFF8F9FA"/>
      </patternFill>
    </fill>
    <fill>
      <patternFill patternType="solid">
        <fgColor rgb="FFD9D2E9"/>
        <bgColor rgb="FFD9D2E9"/>
      </patternFill>
    </fill>
    <fill>
      <patternFill patternType="solid">
        <fgColor rgb="FFD6CFE0"/>
        <bgColor rgb="FFD6CFE0"/>
      </patternFill>
    </fill>
    <fill>
      <patternFill patternType="solid">
        <fgColor rgb="FF8093B3"/>
        <bgColor rgb="FF8093B3"/>
      </patternFill>
    </fill>
    <fill>
      <patternFill patternType="solid">
        <fgColor rgb="FFCFE2F3"/>
        <bgColor rgb="FFCFE2F3"/>
      </patternFill>
    </fill>
    <fill>
      <patternFill patternType="solid">
        <fgColor rgb="FF666666"/>
        <bgColor rgb="FF666666"/>
      </patternFill>
    </fill>
    <fill>
      <patternFill patternType="solid">
        <fgColor rgb="FF000000"/>
        <bgColor rgb="FF000000"/>
      </patternFill>
    </fill>
    <fill>
      <patternFill patternType="solid">
        <fgColor rgb="FFFFFDBC"/>
        <bgColor rgb="FFFFFDB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5A6BD"/>
        <bgColor rgb="FFD5A6BD"/>
      </patternFill>
    </fill>
    <fill>
      <patternFill patternType="solid">
        <fgColor rgb="FF6FA8DC"/>
        <bgColor rgb="FF6FA8DC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rgb="FF5B3F86"/>
        <bgColor rgb="FF5B3F86"/>
      </patternFill>
    </fill>
    <fill>
      <patternFill patternType="solid">
        <fgColor rgb="FF9900FF"/>
        <bgColor rgb="FF9900FF"/>
      </patternFill>
    </fill>
    <fill>
      <patternFill patternType="solid">
        <fgColor rgb="FF674EA7"/>
        <bgColor rgb="FF674EA7"/>
      </patternFill>
    </fill>
    <fill>
      <patternFill patternType="solid">
        <fgColor rgb="FFFFD966"/>
        <bgColor rgb="FFFFD966"/>
      </patternFill>
    </fill>
    <fill>
      <patternFill patternType="solid">
        <fgColor rgb="FFFCC8FC"/>
        <bgColor rgb="FFFCC8FC"/>
      </patternFill>
    </fill>
    <fill>
      <patternFill patternType="solid">
        <fgColor rgb="FFEAD1DC"/>
        <bgColor rgb="FFEAD1DC"/>
      </patternFill>
    </fill>
  </fills>
  <borders count="3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3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readingOrder="0" shrinkToFit="0" vertical="center" wrapText="1"/>
    </xf>
    <xf borderId="5" fillId="3" fontId="3" numFmtId="0" xfId="0" applyAlignment="1" applyBorder="1" applyFill="1" applyFont="1">
      <alignment horizontal="center" readingOrder="0" vertical="center"/>
    </xf>
    <xf borderId="4" fillId="3" fontId="4" numFmtId="0" xfId="0" applyAlignment="1" applyBorder="1" applyFont="1">
      <alignment horizontal="center" readingOrder="0" vertical="center"/>
    </xf>
    <xf borderId="4" fillId="3" fontId="4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vertical="center"/>
    </xf>
    <xf borderId="4" fillId="0" fontId="5" numFmtId="0" xfId="0" applyAlignment="1" applyBorder="1" applyFont="1">
      <alignment shrinkToFit="0" vertical="center" wrapText="1"/>
    </xf>
    <xf borderId="6" fillId="0" fontId="2" numFmtId="0" xfId="0" applyBorder="1" applyFont="1"/>
    <xf borderId="4" fillId="0" fontId="5" numFmtId="0" xfId="0" applyAlignment="1" applyBorder="1" applyFont="1">
      <alignment shrinkToFit="0" wrapText="1"/>
    </xf>
    <xf borderId="4" fillId="0" fontId="5" numFmtId="0" xfId="0" applyBorder="1" applyFont="1"/>
    <xf borderId="7" fillId="0" fontId="2" numFmtId="0" xfId="0" applyBorder="1" applyFont="1"/>
    <xf borderId="1" fillId="4" fontId="3" numFmtId="0" xfId="0" applyAlignment="1" applyBorder="1" applyFill="1" applyFont="1">
      <alignment horizontal="center" readingOrder="0" vertical="center"/>
    </xf>
    <xf borderId="4" fillId="4" fontId="3" numFmtId="0" xfId="0" applyAlignment="1" applyBorder="1" applyFont="1">
      <alignment horizontal="center" readingOrder="0" vertical="center"/>
    </xf>
    <xf borderId="4" fillId="0" fontId="6" numFmtId="0" xfId="0" applyBorder="1" applyFont="1"/>
    <xf borderId="5" fillId="5" fontId="3" numFmtId="0" xfId="0" applyAlignment="1" applyBorder="1" applyFill="1" applyFont="1">
      <alignment horizontal="center" readingOrder="0" vertical="center"/>
    </xf>
    <xf borderId="4" fillId="5" fontId="4" numFmtId="0" xfId="0" applyAlignment="1" applyBorder="1" applyFont="1">
      <alignment horizontal="center" readingOrder="0" vertical="center"/>
    </xf>
    <xf borderId="4" fillId="5" fontId="4" numFmtId="0" xfId="0" applyAlignment="1" applyBorder="1" applyFont="1">
      <alignment horizontal="center" readingOrder="0" vertical="center"/>
    </xf>
    <xf borderId="0" fillId="0" fontId="4" numFmtId="0" xfId="0" applyFont="1"/>
    <xf borderId="5" fillId="6" fontId="3" numFmtId="0" xfId="0" applyAlignment="1" applyBorder="1" applyFill="1" applyFont="1">
      <alignment horizontal="center" readingOrder="0" vertical="center"/>
    </xf>
    <xf borderId="4" fillId="6" fontId="4" numFmtId="0" xfId="0" applyAlignment="1" applyBorder="1" applyFont="1">
      <alignment horizontal="center" readingOrder="0" vertical="center"/>
    </xf>
    <xf borderId="4" fillId="6" fontId="4" numFmtId="0" xfId="0" applyAlignment="1" applyBorder="1" applyFont="1">
      <alignment horizontal="center" readingOrder="0" shrinkToFit="0" vertical="center" wrapText="1"/>
    </xf>
    <xf borderId="4" fillId="6" fontId="4" numFmtId="0" xfId="0" applyAlignment="1" applyBorder="1" applyFon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readingOrder="0" shrinkToFit="0" vertical="center" wrapText="1"/>
    </xf>
    <xf borderId="3" fillId="7" fontId="2" numFmtId="0" xfId="0" applyBorder="1" applyFont="1"/>
    <xf borderId="4" fillId="7" fontId="3" numFmtId="0" xfId="0" applyAlignment="1" applyBorder="1" applyFont="1">
      <alignment horizontal="center" readingOrder="0" shrinkToFit="0" vertical="center" wrapText="1"/>
    </xf>
    <xf borderId="4" fillId="7" fontId="3" numFmtId="0" xfId="0" applyAlignment="1" applyBorder="1" applyFont="1">
      <alignment horizontal="center" readingOrder="0" shrinkToFit="0" vertical="center" wrapText="1"/>
    </xf>
    <xf borderId="1" fillId="8" fontId="3" numFmtId="0" xfId="0" applyAlignment="1" applyBorder="1" applyFill="1" applyFont="1">
      <alignment readingOrder="0"/>
    </xf>
    <xf borderId="2" fillId="9" fontId="2" numFmtId="0" xfId="0" applyBorder="1" applyFill="1" applyFont="1"/>
    <xf borderId="3" fillId="9" fontId="2" numFmtId="0" xfId="0" applyBorder="1" applyFont="1"/>
    <xf borderId="4" fillId="9" fontId="3" numFmtId="0" xfId="0" applyAlignment="1" applyBorder="1" applyFont="1">
      <alignment horizontal="center" readingOrder="0" shrinkToFit="0" vertical="center" wrapText="1"/>
    </xf>
    <xf borderId="4" fillId="5" fontId="7" numFmtId="0" xfId="0" applyAlignment="1" applyBorder="1" applyFont="1">
      <alignment horizontal="center" vertical="bottom"/>
    </xf>
    <xf borderId="4" fillId="6" fontId="7" numFmtId="0" xfId="0" applyAlignment="1" applyBorder="1" applyFont="1">
      <alignment horizontal="center" vertical="bottom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1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quotePrefix="1"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1"/>
    </xf>
    <xf quotePrefix="1" borderId="0" fillId="0" fontId="4" numFmtId="0" xfId="0" applyAlignment="1" applyFont="1">
      <alignment readingOrder="0" shrinkToFit="0" vertical="center" wrapText="1"/>
    </xf>
    <xf borderId="0" fillId="0" fontId="4" numFmtId="3" xfId="0" applyAlignment="1" applyFont="1" applyNumberFormat="1">
      <alignment readingOrder="0" shrinkToFit="0" vertical="center" wrapText="0"/>
    </xf>
    <xf borderId="0" fillId="0" fontId="4" numFmtId="3" xfId="0" applyAlignment="1" applyFont="1" applyNumberFormat="1">
      <alignment readingOrder="0" shrinkToFit="0" vertical="center" wrapText="1"/>
    </xf>
    <xf borderId="4" fillId="4" fontId="9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readingOrder="0"/>
    </xf>
    <xf borderId="4" fillId="0" fontId="4" numFmtId="0" xfId="0" applyAlignment="1" applyBorder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14" xfId="0" applyAlignment="1" applyFont="1" applyNumberForma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4" fontId="1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wrapText="1"/>
    </xf>
    <xf borderId="8" fillId="4" fontId="4" numFmtId="0" xfId="0" applyBorder="1" applyFont="1"/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shrinkToFit="0" vertical="center" wrapText="1"/>
    </xf>
    <xf borderId="0" fillId="10" fontId="3" numFmtId="0" xfId="0" applyAlignment="1" applyFill="1" applyFont="1">
      <alignment horizontal="center" readingOrder="0" vertical="center"/>
    </xf>
    <xf borderId="4" fillId="11" fontId="4" numFmtId="0" xfId="0" applyAlignment="1" applyBorder="1" applyFill="1" applyFont="1">
      <alignment vertical="center"/>
    </xf>
    <xf borderId="4" fillId="0" fontId="4" numFmtId="0" xfId="0" applyBorder="1" applyFont="1"/>
    <xf borderId="4" fillId="0" fontId="4" numFmtId="0" xfId="0" applyAlignment="1" applyBorder="1" applyFont="1">
      <alignment shrinkToFit="0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shrinkToFit="0" wrapText="1"/>
    </xf>
    <xf borderId="1" fillId="3" fontId="14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0" fillId="0" fontId="4" numFmtId="0" xfId="0" applyAlignment="1" applyFont="1">
      <alignment shrinkToFit="0" vertical="center" wrapText="1"/>
    </xf>
    <xf borderId="4" fillId="2" fontId="16" numFmtId="0" xfId="0" applyAlignment="1" applyBorder="1" applyFont="1">
      <alignment horizontal="center" readingOrder="0" vertical="center"/>
    </xf>
    <xf borderId="4" fillId="2" fontId="16" numFmtId="0" xfId="0" applyAlignment="1" applyBorder="1" applyFont="1">
      <alignment horizontal="center" readingOrder="0" shrinkToFit="0" vertical="center" wrapText="1"/>
    </xf>
    <xf borderId="0" fillId="2" fontId="16" numFmtId="0" xfId="0" applyAlignment="1" applyFont="1">
      <alignment horizontal="center" readingOrder="0" shrinkToFit="0" wrapText="1"/>
    </xf>
    <xf borderId="0" fillId="2" fontId="16" numFmtId="0" xfId="0" applyAlignment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center" readingOrder="0" vertical="center"/>
    </xf>
    <xf borderId="4" fillId="3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4" fillId="4" fontId="5" numFmtId="0" xfId="0" applyAlignment="1" applyBorder="1" applyFont="1">
      <alignment horizontal="center"/>
    </xf>
    <xf borderId="4" fillId="4" fontId="5" numFmtId="10" xfId="0" applyAlignment="1" applyBorder="1" applyFont="1" applyNumberFormat="1">
      <alignment horizontal="center"/>
    </xf>
    <xf borderId="12" fillId="0" fontId="5" numFmtId="0" xfId="0" applyAlignment="1" applyBorder="1" applyFont="1">
      <alignment shrinkToFit="0" wrapText="1"/>
    </xf>
    <xf borderId="0" fillId="0" fontId="5" numFmtId="0" xfId="0" applyAlignment="1" applyFont="1">
      <alignment horizontal="center"/>
    </xf>
    <xf borderId="13" fillId="0" fontId="5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center" readingOrder="0" vertical="center"/>
    </xf>
    <xf borderId="0" fillId="0" fontId="3" numFmtId="0" xfId="0" applyFont="1"/>
    <xf borderId="12" fillId="0" fontId="17" numFmtId="0" xfId="0" applyBorder="1" applyFont="1"/>
    <xf borderId="0" fillId="0" fontId="6" numFmtId="0" xfId="0" applyAlignment="1" applyFont="1">
      <alignment horizontal="center"/>
    </xf>
    <xf borderId="1" fillId="12" fontId="16" numFmtId="0" xfId="0" applyAlignment="1" applyBorder="1" applyFill="1" applyFont="1">
      <alignment horizontal="center" readingOrder="0" vertical="center"/>
    </xf>
    <xf borderId="4" fillId="12" fontId="16" numFmtId="0" xfId="0" applyAlignment="1" applyBorder="1" applyFont="1">
      <alignment horizontal="center" readingOrder="0" vertical="center"/>
    </xf>
    <xf borderId="4" fillId="12" fontId="16" numFmtId="0" xfId="0" applyAlignment="1" applyBorder="1" applyFont="1">
      <alignment horizontal="center"/>
    </xf>
    <xf borderId="4" fillId="12" fontId="18" numFmtId="10" xfId="0" applyAlignment="1" applyBorder="1" applyFont="1" applyNumberFormat="1">
      <alignment horizontal="center"/>
    </xf>
    <xf borderId="12" fillId="13" fontId="5" numFmtId="0" xfId="0" applyBorder="1" applyFill="1" applyFont="1"/>
    <xf borderId="0" fillId="13" fontId="5" numFmtId="0" xfId="0" applyFont="1"/>
    <xf borderId="13" fillId="13" fontId="5" numFmtId="0" xfId="0" applyBorder="1" applyFont="1"/>
    <xf borderId="5" fillId="5" fontId="19" numFmtId="0" xfId="0" applyAlignment="1" applyBorder="1" applyFont="1">
      <alignment horizontal="center" readingOrder="0" vertical="center"/>
    </xf>
    <xf borderId="4" fillId="5" fontId="5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horizontal="center" readingOrder="0" vertical="center"/>
    </xf>
    <xf borderId="12" fillId="14" fontId="19" numFmtId="0" xfId="0" applyAlignment="1" applyBorder="1" applyFill="1" applyFont="1">
      <alignment horizontal="center" readingOrder="0"/>
    </xf>
    <xf borderId="13" fillId="0" fontId="2" numFmtId="0" xfId="0" applyBorder="1" applyFont="1"/>
    <xf borderId="12" fillId="0" fontId="5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13" fillId="0" fontId="5" numFmtId="0" xfId="0" applyAlignment="1" applyBorder="1" applyFont="1">
      <alignment horizontal="center" shrinkToFit="0" vertical="center" wrapText="1"/>
    </xf>
    <xf borderId="12" fillId="0" fontId="5" numFmtId="0" xfId="0" applyBorder="1" applyFont="1"/>
    <xf borderId="5" fillId="6" fontId="19" numFmtId="0" xfId="0" applyAlignment="1" applyBorder="1" applyFont="1">
      <alignment horizontal="center" readingOrder="0" vertical="center"/>
    </xf>
    <xf borderId="4" fillId="6" fontId="5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center" readingOrder="0" shrinkToFit="0" vertical="center" wrapText="1"/>
    </xf>
    <xf borderId="4" fillId="4" fontId="5" numFmtId="0" xfId="0" applyAlignment="1" applyBorder="1" applyFont="1">
      <alignment horizontal="center" readingOrder="0" shrinkToFit="0" vertical="center" wrapText="1"/>
    </xf>
    <xf borderId="4" fillId="4" fontId="5" numFmtId="10" xfId="0" applyAlignment="1" applyBorder="1" applyFont="1" applyNumberFormat="1">
      <alignment horizontal="center" readingOrder="0" shrinkToFit="0" vertical="center" wrapText="1"/>
    </xf>
    <xf borderId="4" fillId="4" fontId="5" numFmtId="10" xfId="0" applyAlignment="1" applyBorder="1" applyFont="1" applyNumberFormat="1">
      <alignment horizontal="center" readingOrder="0"/>
    </xf>
    <xf borderId="12" fillId="0" fontId="17" numFmtId="0" xfId="0" applyAlignment="1" applyBorder="1" applyFont="1">
      <alignment readingOrder="0" vertical="center"/>
    </xf>
    <xf borderId="0" fillId="0" fontId="20" numFmtId="10" xfId="0" applyAlignment="1" applyFont="1" applyNumberFormat="1">
      <alignment horizontal="center"/>
    </xf>
    <xf borderId="13" fillId="0" fontId="20" numFmtId="10" xfId="0" applyAlignment="1" applyBorder="1" applyFont="1" applyNumberFormat="1">
      <alignment horizontal="center"/>
    </xf>
    <xf borderId="1" fillId="12" fontId="16" numFmtId="0" xfId="0" applyAlignment="1" applyBorder="1" applyFont="1">
      <alignment horizontal="center" readingOrder="0" shrinkToFit="0" vertical="center" wrapText="1"/>
    </xf>
    <xf borderId="0" fillId="4" fontId="4" numFmtId="0" xfId="0" applyAlignment="1" applyFont="1">
      <alignment readingOrder="0"/>
    </xf>
    <xf borderId="0" fillId="4" fontId="3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4" fillId="0" fontId="19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4" fillId="15" fontId="21" numFmtId="10" xfId="0" applyAlignment="1" applyBorder="1" applyFill="1" applyFont="1" applyNumberFormat="1">
      <alignment horizontal="center" vertical="center"/>
    </xf>
    <xf borderId="4" fillId="0" fontId="22" numFmtId="10" xfId="0" applyAlignment="1" applyBorder="1" applyFont="1" applyNumberFormat="1">
      <alignment horizontal="center" vertical="center"/>
    </xf>
    <xf borderId="0" fillId="0" fontId="23" numFmtId="0" xfId="0" applyAlignment="1" applyFont="1">
      <alignment horizontal="center" readingOrder="0" vertical="center"/>
    </xf>
    <xf borderId="0" fillId="0" fontId="23" numFmtId="0" xfId="0" applyAlignment="1" applyFont="1">
      <alignment horizontal="center" readingOrder="0" vertical="center"/>
    </xf>
    <xf borderId="12" fillId="14" fontId="19" numFmtId="0" xfId="0" applyAlignment="1" applyBorder="1" applyFont="1">
      <alignment horizontal="center" readingOrder="0" vertical="center"/>
    </xf>
    <xf borderId="0" fillId="0" fontId="24" numFmtId="0" xfId="0" applyFont="1"/>
    <xf borderId="0" fillId="0" fontId="1" numFmtId="0" xfId="0" applyAlignment="1" applyFont="1">
      <alignment horizontal="center" readingOrder="0" vertical="center"/>
    </xf>
    <xf borderId="14" fillId="0" fontId="17" numFmtId="0" xfId="0" applyAlignment="1" applyBorder="1" applyFont="1">
      <alignment readingOrder="0" vertical="center"/>
    </xf>
    <xf borderId="15" fillId="0" fontId="20" numFmtId="10" xfId="0" applyAlignment="1" applyBorder="1" applyFont="1" applyNumberFormat="1">
      <alignment horizontal="center"/>
    </xf>
    <xf borderId="16" fillId="0" fontId="20" numFmtId="10" xfId="0" applyAlignment="1" applyBorder="1" applyFont="1" applyNumberFormat="1">
      <alignment horizontal="center"/>
    </xf>
    <xf borderId="0" fillId="0" fontId="23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horizontal="center" readingOrder="0" shrinkToFit="0" vertical="center" wrapText="1"/>
    </xf>
    <xf borderId="0" fillId="16" fontId="23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0" fontId="23" numFmtId="0" xfId="0" applyFont="1"/>
    <xf borderId="0" fillId="0" fontId="25" numFmtId="0" xfId="0" applyAlignment="1" applyFont="1">
      <alignment horizontal="center" vertical="bottom"/>
    </xf>
    <xf borderId="0" fillId="7" fontId="23" numFmtId="0" xfId="0" applyAlignment="1" applyFont="1">
      <alignment horizontal="center" readingOrder="0" vertical="center"/>
    </xf>
    <xf borderId="0" fillId="7" fontId="23" numFmtId="0" xfId="0" applyAlignment="1" applyFont="1">
      <alignment horizontal="center" readingOrder="0" shrinkToFit="0" vertical="center" wrapText="1"/>
    </xf>
    <xf borderId="0" fillId="7" fontId="25" numFmtId="0" xfId="0" applyAlignment="1" applyFont="1">
      <alignment horizontal="center" vertical="bottom"/>
    </xf>
    <xf borderId="0" fillId="4" fontId="23" numFmtId="0" xfId="0" applyAlignment="1" applyFont="1">
      <alignment horizontal="center" readingOrder="0" vertical="center"/>
    </xf>
    <xf borderId="0" fillId="4" fontId="23" numFmtId="0" xfId="0" applyAlignment="1" applyFont="1">
      <alignment horizontal="center" readingOrder="0" shrinkToFit="0" vertical="center" wrapText="1"/>
    </xf>
    <xf borderId="0" fillId="4" fontId="25" numFmtId="0" xfId="0" applyAlignment="1" applyFont="1">
      <alignment horizontal="center" vertical="bottom"/>
    </xf>
    <xf borderId="0" fillId="7" fontId="1" numFmtId="0" xfId="0" applyAlignment="1" applyFont="1">
      <alignment horizontal="center" readingOrder="0" shrinkToFit="0" vertical="center" wrapText="1"/>
    </xf>
    <xf borderId="0" fillId="7" fontId="1" numFmtId="0" xfId="0" applyAlignment="1" applyFont="1">
      <alignment horizontal="center" readingOrder="0" shrinkToFit="0" vertical="center" wrapText="1"/>
    </xf>
    <xf borderId="17" fillId="0" fontId="4" numFmtId="0" xfId="0" applyAlignment="1" applyBorder="1" applyFont="1">
      <alignment shrinkToFit="0" vertical="center" wrapText="1"/>
    </xf>
    <xf borderId="18" fillId="0" fontId="4" numFmtId="0" xfId="0" applyBorder="1" applyFont="1"/>
    <xf borderId="18" fillId="0" fontId="24" numFmtId="0" xfId="0" applyAlignment="1" applyBorder="1" applyFont="1">
      <alignment horizontal="center" shrinkToFit="0" vertical="center" wrapText="1"/>
    </xf>
    <xf borderId="19" fillId="0" fontId="24" numFmtId="0" xfId="0" applyAlignment="1" applyBorder="1" applyFont="1">
      <alignment horizontal="center" shrinkToFit="0" vertical="center" wrapText="1"/>
    </xf>
    <xf borderId="19" fillId="10" fontId="26" numFmtId="0" xfId="0" applyAlignment="1" applyBorder="1" applyFont="1">
      <alignment horizontal="center" readingOrder="0" shrinkToFit="0" vertical="center" wrapText="1"/>
    </xf>
    <xf borderId="2" fillId="13" fontId="27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shrinkToFit="0" vertical="center" wrapText="1"/>
    </xf>
    <xf borderId="21" fillId="0" fontId="4" numFmtId="0" xfId="0" applyAlignment="1" applyBorder="1" applyFont="1">
      <alignment horizontal="center"/>
    </xf>
    <xf borderId="3" fillId="0" fontId="28" numFmtId="0" xfId="0" applyAlignment="1" applyBorder="1" applyFont="1">
      <alignment horizontal="center" readingOrder="0"/>
    </xf>
    <xf borderId="4" fillId="0" fontId="28" numFmtId="0" xfId="0" applyBorder="1" applyFont="1"/>
    <xf borderId="4" fillId="0" fontId="28" numFmtId="0" xfId="0" applyAlignment="1" applyBorder="1" applyFont="1">
      <alignment horizontal="center"/>
    </xf>
    <xf borderId="3" fillId="0" fontId="29" numFmtId="0" xfId="0" applyAlignment="1" applyBorder="1" applyFont="1">
      <alignment horizontal="center" readingOrder="0"/>
    </xf>
    <xf borderId="4" fillId="0" fontId="29" numFmtId="0" xfId="0" applyBorder="1" applyFont="1"/>
    <xf borderId="4" fillId="0" fontId="29" numFmtId="0" xfId="0" applyAlignment="1" applyBorder="1" applyFont="1">
      <alignment horizontal="center"/>
    </xf>
    <xf borderId="3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/>
    </xf>
    <xf borderId="22" fillId="0" fontId="4" numFmtId="0" xfId="0" applyAlignment="1" applyBorder="1" applyFont="1">
      <alignment shrinkToFit="0" vertical="center" wrapText="1"/>
    </xf>
    <xf borderId="23" fillId="0" fontId="4" numFmtId="0" xfId="0" applyBorder="1" applyFont="1"/>
    <xf borderId="23" fillId="0" fontId="4" numFmtId="0" xfId="0" applyAlignment="1" applyBorder="1" applyFont="1">
      <alignment horizontal="center"/>
    </xf>
    <xf borderId="24" fillId="0" fontId="4" numFmtId="0" xfId="0" applyAlignment="1" applyBorder="1" applyFont="1">
      <alignment horizontal="center"/>
    </xf>
    <xf borderId="24" fillId="0" fontId="4" numFmtId="0" xfId="0" applyBorder="1" applyFont="1"/>
    <xf borderId="25" fillId="10" fontId="26" numFmtId="0" xfId="0" applyAlignment="1" applyBorder="1" applyFont="1">
      <alignment horizontal="center" readingOrder="0" shrinkToFit="0" vertical="center" wrapText="1"/>
    </xf>
    <xf borderId="26" fillId="0" fontId="4" numFmtId="0" xfId="0" applyAlignment="1" applyBorder="1" applyFont="1">
      <alignment horizontal="center"/>
    </xf>
    <xf borderId="27" fillId="0" fontId="4" numFmtId="0" xfId="0" applyBorder="1" applyFont="1"/>
    <xf borderId="0" fillId="0" fontId="3" numFmtId="0" xfId="0" applyAlignment="1" applyFont="1">
      <alignment horizontal="center" readingOrder="0"/>
    </xf>
    <xf borderId="1" fillId="15" fontId="3" numFmtId="0" xfId="0" applyAlignment="1" applyBorder="1" applyFont="1">
      <alignment horizontal="center" readingOrder="0"/>
    </xf>
    <xf borderId="1" fillId="17" fontId="3" numFmtId="0" xfId="0" applyAlignment="1" applyBorder="1" applyFill="1" applyFont="1">
      <alignment horizontal="center" readingOrder="0"/>
    </xf>
    <xf borderId="1" fillId="18" fontId="3" numFmtId="0" xfId="0" applyAlignment="1" applyBorder="1" applyFill="1" applyFont="1">
      <alignment horizontal="center" readingOrder="0"/>
    </xf>
    <xf borderId="0" fillId="0" fontId="30" numFmtId="0" xfId="0" applyAlignment="1" applyFont="1">
      <alignment horizontal="center" readingOrder="0" shrinkToFit="0" vertical="bottom" wrapText="0"/>
    </xf>
    <xf borderId="0" fillId="0" fontId="4" numFmtId="0" xfId="0" applyFont="1"/>
    <xf borderId="0" fillId="0" fontId="30" numFmtId="0" xfId="0" applyAlignment="1" applyFont="1">
      <alignment shrinkToFit="0" vertical="bottom" wrapText="0"/>
    </xf>
    <xf borderId="0" fillId="0" fontId="31" numFmtId="0" xfId="0" applyAlignment="1" applyFont="1">
      <alignment horizontal="center" readingOrder="0"/>
    </xf>
    <xf borderId="4" fillId="13" fontId="1" numFmtId="0" xfId="0" applyAlignment="1" applyBorder="1" applyFont="1">
      <alignment horizontal="center" readingOrder="0" shrinkToFit="0" vertical="center" wrapText="1"/>
    </xf>
    <xf borderId="4" fillId="13" fontId="32" numFmtId="0" xfId="0" applyAlignment="1" applyBorder="1" applyFont="1">
      <alignment horizontal="center" readingOrder="0" shrinkToFit="0" vertical="center" wrapText="1"/>
    </xf>
    <xf borderId="4" fillId="13" fontId="33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0" numFmtId="0" xfId="0" applyAlignment="1" applyFont="1">
      <alignment horizontal="center" readingOrder="0" shrinkToFit="0" wrapText="0"/>
    </xf>
    <xf borderId="5" fillId="19" fontId="13" numFmtId="0" xfId="0" applyAlignment="1" applyBorder="1" applyFill="1" applyFont="1">
      <alignment horizontal="center" shrinkToFit="0" vertical="center" wrapText="1"/>
    </xf>
    <xf borderId="4" fillId="19" fontId="13" numFmtId="0" xfId="0" applyAlignment="1" applyBorder="1" applyFont="1">
      <alignment horizontal="left" readingOrder="0" shrinkToFit="0" vertical="center" wrapText="1"/>
    </xf>
    <xf borderId="4" fillId="19" fontId="4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left" readingOrder="0"/>
    </xf>
    <xf borderId="4" fillId="0" fontId="4" numFmtId="0" xfId="0" applyAlignment="1" applyBorder="1" applyFont="1">
      <alignment readingOrder="0"/>
    </xf>
    <xf borderId="4" fillId="0" fontId="4" numFmtId="0" xfId="0" applyAlignment="1" applyBorder="1" applyFont="1">
      <alignment horizontal="center" readingOrder="0" vertical="center"/>
    </xf>
    <xf borderId="4" fillId="0" fontId="34" numFmtId="0" xfId="0" applyAlignment="1" applyBorder="1" applyFont="1">
      <alignment horizontal="left" readingOrder="0"/>
    </xf>
    <xf borderId="0" fillId="0" fontId="35" numFmtId="0" xfId="0" applyAlignment="1" applyFont="1">
      <alignment horizontal="left" readingOrder="0" shrinkToFit="0" wrapText="0"/>
    </xf>
    <xf borderId="0" fillId="0" fontId="30" numFmtId="165" xfId="0" applyAlignment="1" applyFont="1" applyNumberFormat="1">
      <alignment horizontal="center" readingOrder="0" shrinkToFit="0" wrapText="0"/>
    </xf>
    <xf borderId="4" fillId="19" fontId="36" numFmtId="0" xfId="0" applyAlignment="1" applyBorder="1" applyFont="1">
      <alignment readingOrder="0" shrinkToFit="0" wrapText="1"/>
    </xf>
    <xf borderId="4" fillId="0" fontId="37" numFmtId="0" xfId="0" applyAlignment="1" applyBorder="1" applyFont="1">
      <alignment horizontal="left" readingOrder="0"/>
    </xf>
    <xf borderId="4" fillId="0" fontId="36" numFmtId="0" xfId="0" applyAlignment="1" applyBorder="1" applyFont="1">
      <alignment readingOrder="0"/>
    </xf>
    <xf borderId="4" fillId="0" fontId="36" numFmtId="0" xfId="0" applyAlignment="1" applyBorder="1" applyFont="1">
      <alignment horizontal="left" readingOrder="0"/>
    </xf>
    <xf borderId="4" fillId="19" fontId="4" numFmtId="0" xfId="0" applyAlignment="1" applyBorder="1" applyFont="1">
      <alignment horizontal="left" readingOrder="0"/>
    </xf>
    <xf borderId="4" fillId="19" fontId="4" numFmtId="0" xfId="0" applyBorder="1" applyFont="1"/>
    <xf borderId="4" fillId="0" fontId="3" numFmtId="0" xfId="0" applyAlignment="1" applyBorder="1" applyFont="1">
      <alignment horizontal="center" readingOrder="0"/>
    </xf>
    <xf borderId="4" fillId="0" fontId="38" numFmtId="0" xfId="0" applyAlignment="1" applyBorder="1" applyFont="1">
      <alignment horizontal="center" readingOrder="0"/>
    </xf>
    <xf borderId="4" fillId="0" fontId="37" numFmtId="0" xfId="0" applyAlignment="1" applyBorder="1" applyFont="1">
      <alignment horizontal="center" readingOrder="0"/>
    </xf>
    <xf borderId="0" fillId="0" fontId="4" numFmtId="0" xfId="0" applyAlignment="1" applyFont="1">
      <alignment horizontal="left" readingOrder="0"/>
    </xf>
    <xf borderId="5" fillId="4" fontId="13" numFmtId="0" xfId="0" applyAlignment="1" applyBorder="1" applyFont="1">
      <alignment horizontal="center" shrinkToFit="0" vertical="center" wrapText="1"/>
    </xf>
    <xf borderId="4" fillId="0" fontId="37" numFmtId="0" xfId="0" applyAlignment="1" applyBorder="1" applyFont="1">
      <alignment readingOrder="0" shrinkToFit="0" wrapText="1"/>
    </xf>
    <xf borderId="0" fillId="0" fontId="39" numFmtId="0" xfId="0" applyAlignment="1" applyFont="1">
      <alignment horizontal="left" readingOrder="0" shrinkToFit="0" wrapText="0"/>
    </xf>
    <xf borderId="4" fillId="4" fontId="13" numFmtId="0" xfId="0" applyAlignment="1" applyBorder="1" applyFont="1">
      <alignment horizontal="left" readingOrder="0" shrinkToFit="0" vertical="center" wrapText="1"/>
    </xf>
    <xf borderId="0" fillId="0" fontId="30" numFmtId="0" xfId="0" applyAlignment="1" applyFont="1">
      <alignment horizontal="right" readingOrder="0" shrinkToFit="0" vertical="bottom" wrapText="0"/>
    </xf>
    <xf borderId="5" fillId="19" fontId="4" numFmtId="0" xfId="0" applyAlignment="1" applyBorder="1" applyFont="1">
      <alignment horizontal="center" readingOrder="0" vertical="center"/>
    </xf>
    <xf borderId="4" fillId="19" fontId="36" numFmtId="0" xfId="0" applyAlignment="1" applyBorder="1" applyFont="1">
      <alignment horizontal="left" readingOrder="0"/>
    </xf>
    <xf borderId="4" fillId="19" fontId="4" numFmtId="0" xfId="0" applyAlignment="1" applyBorder="1" applyFont="1">
      <alignment readingOrder="0"/>
    </xf>
    <xf borderId="0" fillId="0" fontId="30" numFmtId="165" xfId="0" applyAlignment="1" applyFont="1" applyNumberFormat="1">
      <alignment horizontal="right" readingOrder="0" shrinkToFit="0" vertical="bottom" wrapText="0"/>
    </xf>
    <xf borderId="4" fillId="0" fontId="4" numFmtId="0" xfId="0" applyBorder="1" applyFont="1"/>
    <xf borderId="5" fillId="19" fontId="13" numFmtId="0" xfId="0" applyAlignment="1" applyBorder="1" applyFont="1">
      <alignment horizontal="center" readingOrder="0" shrinkToFit="0" vertical="center" wrapText="1"/>
    </xf>
    <xf borderId="4" fillId="19" fontId="37" numFmtId="0" xfId="0" applyAlignment="1" applyBorder="1" applyFont="1">
      <alignment readingOrder="0" shrinkToFit="0" wrapText="1"/>
    </xf>
    <xf borderId="0" fillId="0" fontId="39" numFmtId="0" xfId="0" applyAlignment="1" applyFont="1">
      <alignment horizontal="left" shrinkToFit="0" wrapText="0"/>
    </xf>
    <xf borderId="0" fillId="0" fontId="30" numFmtId="0" xfId="0" applyAlignment="1" applyFont="1">
      <alignment horizontal="center" shrinkToFit="0" wrapText="0"/>
    </xf>
    <xf borderId="5" fillId="4" fontId="40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center"/>
    </xf>
    <xf borderId="0" fillId="0" fontId="36" numFmtId="0" xfId="0" applyAlignment="1" applyFont="1">
      <alignment readingOrder="0"/>
    </xf>
    <xf borderId="5" fillId="19" fontId="4" numFmtId="0" xfId="0" applyAlignment="1" applyBorder="1" applyFont="1">
      <alignment horizontal="center" readingOrder="0" shrinkToFit="0" vertical="center" wrapText="1"/>
    </xf>
    <xf borderId="4" fillId="19" fontId="13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center" readingOrder="0" vertical="center"/>
    </xf>
    <xf borderId="4" fillId="0" fontId="41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4" fillId="0" fontId="3" numFmtId="0" xfId="0" applyAlignment="1" applyBorder="1" applyFont="1">
      <alignment horizontal="center"/>
    </xf>
    <xf borderId="4" fillId="0" fontId="41" numFmtId="0" xfId="0" applyAlignment="1" applyBorder="1" applyFont="1">
      <alignment horizontal="center" readingOrder="0"/>
    </xf>
    <xf borderId="0" fillId="20" fontId="4" numFmtId="0" xfId="0" applyFill="1" applyFont="1"/>
    <xf borderId="28" fillId="0" fontId="1" numFmtId="0" xfId="0" applyAlignment="1" applyBorder="1" applyFont="1">
      <alignment horizontal="center" readingOrder="0"/>
    </xf>
    <xf borderId="29" fillId="0" fontId="1" numFmtId="0" xfId="0" applyAlignment="1" applyBorder="1" applyFont="1">
      <alignment horizontal="center" readingOrder="0"/>
    </xf>
    <xf borderId="30" fillId="0" fontId="1" numFmtId="0" xfId="0" applyAlignment="1" applyBorder="1" applyFont="1">
      <alignment horizontal="center" readingOrder="0"/>
    </xf>
    <xf borderId="31" fillId="0" fontId="4" numFmtId="164" xfId="0" applyAlignment="1" applyBorder="1" applyFont="1" applyNumberFormat="1">
      <alignment readingOrder="0"/>
    </xf>
    <xf borderId="32" fillId="0" fontId="4" numFmtId="14" xfId="0" applyAlignment="1" applyBorder="1" applyFont="1" applyNumberFormat="1">
      <alignment readingOrder="0"/>
    </xf>
    <xf borderId="32" fillId="0" fontId="4" numFmtId="0" xfId="0" applyAlignment="1" applyBorder="1" applyFont="1">
      <alignment readingOrder="0"/>
    </xf>
    <xf borderId="32" fillId="0" fontId="42" numFmtId="0" xfId="0" applyAlignment="1" applyBorder="1" applyFont="1">
      <alignment readingOrder="0"/>
    </xf>
    <xf borderId="32" fillId="0" fontId="4" numFmtId="0" xfId="0" applyBorder="1" applyFont="1"/>
    <xf borderId="33" fillId="0" fontId="4" numFmtId="0" xfId="0" applyBorder="1" applyFont="1"/>
    <xf borderId="0" fillId="0" fontId="4" numFmtId="0" xfId="0" applyFont="1"/>
    <xf borderId="0" fillId="0" fontId="1" numFmtId="0" xfId="0" applyAlignment="1" applyFont="1">
      <alignment horizontal="center" readingOrder="0" shrinkToFit="0" vertical="center" wrapText="1"/>
    </xf>
    <xf borderId="0" fillId="8" fontId="43" numFmtId="0" xfId="0" applyAlignment="1" applyFont="1">
      <alignment horizontal="center" readingOrder="0" shrinkToFit="0" vertical="center" wrapText="1"/>
    </xf>
    <xf borderId="0" fillId="11" fontId="43" numFmtId="0" xfId="0" applyAlignment="1" applyFont="1">
      <alignment horizontal="center" readingOrder="0" shrinkToFit="0" vertical="center" wrapText="1"/>
    </xf>
    <xf borderId="0" fillId="21" fontId="43" numFmtId="0" xfId="0" applyAlignment="1" applyFill="1" applyFont="1">
      <alignment horizontal="center" readingOrder="0" shrinkToFit="0" vertical="center" wrapText="1"/>
    </xf>
    <xf borderId="0" fillId="17" fontId="43" numFmtId="0" xfId="0" applyAlignment="1" applyFont="1">
      <alignment horizontal="center"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4" fontId="4" numFmtId="0" xfId="0" applyFont="1"/>
    <xf borderId="0" fillId="22" fontId="1" numFmtId="0" xfId="0" applyAlignment="1" applyFill="1" applyFont="1">
      <alignment horizontal="center" readingOrder="0" shrinkToFit="0" vertical="center" wrapText="1"/>
    </xf>
    <xf borderId="4" fillId="8" fontId="43" numFmtId="0" xfId="0" applyAlignment="1" applyBorder="1" applyFont="1">
      <alignment horizontal="center" readingOrder="0" shrinkToFit="0" vertical="center" wrapText="1"/>
    </xf>
    <xf borderId="4" fillId="11" fontId="43" numFmtId="0" xfId="0" applyAlignment="1" applyBorder="1" applyFont="1">
      <alignment horizontal="center" readingOrder="0" shrinkToFit="0" vertical="center" wrapText="1"/>
    </xf>
    <xf borderId="4" fillId="21" fontId="43" numFmtId="0" xfId="0" applyAlignment="1" applyBorder="1" applyFont="1">
      <alignment horizontal="center" readingOrder="0" shrinkToFit="0" vertical="center" wrapText="1"/>
    </xf>
    <xf borderId="4" fillId="17" fontId="43" numFmtId="0" xfId="0" applyAlignment="1" applyBorder="1" applyFon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0" fillId="4" fontId="4" numFmtId="3" xfId="0" applyAlignment="1" applyFont="1" applyNumberFormat="1">
      <alignment horizontal="center" readingOrder="0" shrinkToFit="0" vertical="center" wrapText="1"/>
    </xf>
    <xf borderId="0" fillId="4" fontId="4" numFmtId="10" xfId="0" applyAlignment="1" applyFont="1" applyNumberForma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0" fillId="7" fontId="4" numFmtId="0" xfId="0" applyAlignment="1" applyFont="1">
      <alignment horizontal="center" readingOrder="0" shrinkToFit="0" vertical="center" wrapText="1"/>
    </xf>
    <xf borderId="0" fillId="7" fontId="4" numFmtId="3" xfId="0" applyAlignment="1" applyFont="1" applyNumberFormat="1">
      <alignment horizontal="center" readingOrder="0" shrinkToFit="0" vertical="center" wrapText="1"/>
    </xf>
    <xf borderId="0" fillId="7" fontId="4" numFmtId="10" xfId="0" applyAlignment="1" applyFont="1" applyNumberFormat="1">
      <alignment horizontal="center" readingOrder="0" shrinkToFit="0" vertical="center" wrapText="1"/>
    </xf>
    <xf borderId="0" fillId="7" fontId="4" numFmtId="0" xfId="0" applyAlignment="1" applyFont="1">
      <alignment horizontal="center" readingOrder="0" shrinkToFit="0" vertical="center" wrapText="1"/>
    </xf>
    <xf borderId="0" fillId="4" fontId="36" numFmtId="0" xfId="0" applyAlignment="1" applyFont="1">
      <alignment horizontal="center" readingOrder="0" shrinkToFit="0" vertical="center" wrapText="1"/>
    </xf>
    <xf borderId="0" fillId="9" fontId="3" numFmtId="0" xfId="0" applyAlignment="1" applyFont="1">
      <alignment horizontal="center" readingOrder="0" shrinkToFit="0" vertical="center" wrapText="1"/>
    </xf>
    <xf borderId="0" fillId="9" fontId="3" numFmtId="3" xfId="0" applyAlignment="1" applyFont="1" applyNumberFormat="1">
      <alignment horizontal="center" readingOrder="0" shrinkToFit="0" vertical="center" wrapText="1"/>
    </xf>
    <xf borderId="0" fillId="9" fontId="3" numFmtId="10" xfId="0" applyAlignment="1" applyFont="1" applyNumberFormat="1">
      <alignment horizontal="center" readingOrder="0" shrinkToFit="0" vertical="center" wrapText="1"/>
    </xf>
    <xf borderId="0" fillId="9" fontId="3" numFmtId="0" xfId="0" applyAlignment="1" applyFont="1">
      <alignment horizontal="center" readingOrder="0" shrinkToFit="0" vertical="center" wrapText="1"/>
    </xf>
    <xf borderId="0" fillId="0" fontId="4" numFmtId="166" xfId="0" applyAlignment="1" applyFont="1" applyNumberFormat="1">
      <alignment readingOrder="0"/>
    </xf>
    <xf borderId="0" fillId="4" fontId="13" numFmtId="0" xfId="0" applyAlignment="1" applyFont="1">
      <alignment horizontal="center" shrinkToFit="0" vertical="center" wrapText="0"/>
    </xf>
    <xf borderId="0" fillId="4" fontId="43" numFmtId="0" xfId="0" applyAlignment="1" applyFont="1">
      <alignment horizontal="center" readingOrder="0" shrinkToFit="0" vertical="center" wrapText="1"/>
    </xf>
    <xf borderId="0" fillId="23" fontId="1" numFmtId="0" xfId="0" applyAlignment="1" applyFill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24" fontId="1" numFmtId="0" xfId="0" applyAlignment="1" applyBorder="1" applyFill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23" fontId="1" numFmtId="0" xfId="0" applyAlignment="1" applyBorder="1" applyFont="1">
      <alignment horizontal="center" readingOrder="0" shrinkToFit="0" vertical="center" wrapText="1"/>
    </xf>
    <xf borderId="5" fillId="8" fontId="43" numFmtId="0" xfId="0" applyAlignment="1" applyBorder="1" applyFont="1">
      <alignment horizontal="center" readingOrder="0" shrinkToFit="0" vertical="center" wrapText="1"/>
    </xf>
    <xf borderId="5" fillId="11" fontId="43" numFmtId="0" xfId="0" applyAlignment="1" applyBorder="1" applyFont="1">
      <alignment horizontal="center" readingOrder="0" shrinkToFit="0" vertical="center" wrapText="1"/>
    </xf>
    <xf borderId="5" fillId="21" fontId="43" numFmtId="0" xfId="0" applyAlignment="1" applyBorder="1" applyFont="1">
      <alignment horizontal="center" readingOrder="0" shrinkToFit="0" vertical="center" wrapText="1"/>
    </xf>
    <xf borderId="5" fillId="17" fontId="43" numFmtId="0" xfId="0" applyAlignment="1" applyBorder="1" applyFont="1">
      <alignment horizontal="center" readingOrder="0" shrinkToFit="0" vertical="center" wrapText="1"/>
    </xf>
    <xf borderId="4" fillId="23" fontId="1" numFmtId="0" xfId="0" applyAlignment="1" applyBorder="1" applyFont="1">
      <alignment horizontal="center" readingOrder="0" shrinkToFit="0" vertical="center" wrapText="1"/>
    </xf>
    <xf borderId="0" fillId="4" fontId="13" numFmtId="0" xfId="0" applyAlignment="1" applyFont="1">
      <alignment horizontal="center" readingOrder="0" shrinkToFit="0" vertical="center" wrapText="0"/>
    </xf>
    <xf borderId="4" fillId="25" fontId="13" numFmtId="0" xfId="0" applyAlignment="1" applyBorder="1" applyFill="1" applyFont="1">
      <alignment horizontal="center" shrinkToFit="0" vertical="center" wrapText="1"/>
    </xf>
    <xf borderId="4" fillId="3" fontId="9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167" xfId="0" applyAlignment="1" applyBorder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168" xfId="0" applyAlignment="1" applyBorder="1" applyFont="1" applyNumberFormat="1">
      <alignment horizontal="center" shrinkToFit="0" vertical="center" wrapText="1"/>
    </xf>
    <xf borderId="4" fillId="0" fontId="30" numFmtId="0" xfId="0" applyAlignment="1" applyBorder="1" applyFont="1">
      <alignment horizontal="center" readingOrder="0" shrinkToFit="0" wrapText="0"/>
    </xf>
    <xf borderId="0" fillId="0" fontId="30" numFmtId="0" xfId="0" applyAlignment="1" applyFont="1">
      <alignment readingOrder="0" shrinkToFit="0" vertical="bottom" wrapText="0"/>
    </xf>
    <xf borderId="4" fillId="0" fontId="44" numFmtId="0" xfId="0" applyAlignment="1" applyBorder="1" applyFont="1">
      <alignment readingOrder="0" shrinkToFit="0" vertical="bottom" wrapText="0"/>
    </xf>
    <xf borderId="4" fillId="25" fontId="13" numFmtId="0" xfId="0" applyAlignment="1" applyBorder="1" applyFont="1">
      <alignment horizontal="center" readingOrder="0" shrinkToFit="0" vertical="center" wrapText="1"/>
    </xf>
    <xf borderId="4" fillId="3" fontId="45" numFmtId="0" xfId="0" applyAlignment="1" applyBorder="1" applyFont="1">
      <alignment horizontal="left" readingOrder="0"/>
    </xf>
    <xf borderId="7" fillId="0" fontId="44" numFmtId="0" xfId="0" applyAlignment="1" applyBorder="1" applyFont="1">
      <alignment readingOrder="0" shrinkToFit="0" vertical="bottom" wrapText="0"/>
    </xf>
    <xf borderId="7" fillId="0" fontId="4" numFmtId="0" xfId="0" applyBorder="1" applyFont="1"/>
    <xf borderId="7" fillId="0" fontId="4" numFmtId="0" xfId="0" applyAlignment="1" applyBorder="1" applyFont="1">
      <alignment horizontal="center" readingOrder="0" shrinkToFit="0" vertical="center" wrapText="1"/>
    </xf>
    <xf borderId="4" fillId="26" fontId="46" numFmtId="0" xfId="0" applyAlignment="1" applyBorder="1" applyFill="1" applyFont="1">
      <alignment horizontal="left" readingOrder="0" shrinkToFit="0" wrapText="0"/>
    </xf>
    <xf borderId="7" fillId="4" fontId="13" numFmtId="0" xfId="0" applyAlignment="1" applyBorder="1" applyFont="1">
      <alignment horizontal="center" shrinkToFit="0" vertical="center" wrapText="1"/>
    </xf>
    <xf borderId="7" fillId="0" fontId="30" numFmtId="0" xfId="0" applyAlignment="1" applyBorder="1" applyFont="1">
      <alignment readingOrder="0" shrinkToFit="0" vertical="bottom" wrapText="0"/>
    </xf>
    <xf borderId="7" fillId="3" fontId="45" numFmtId="0" xfId="0" applyAlignment="1" applyBorder="1" applyFont="1">
      <alignment horizontal="left" readingOrder="0"/>
    </xf>
    <xf borderId="7" fillId="0" fontId="4" numFmtId="167" xfId="0" applyAlignment="1" applyBorder="1" applyFont="1" applyNumberFormat="1">
      <alignment horizontal="center" readingOrder="0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7" fillId="0" fontId="4" numFmtId="168" xfId="0" applyAlignment="1" applyBorder="1" applyFont="1" applyNumberFormat="1">
      <alignment horizontal="center" shrinkToFit="0" vertical="center" wrapText="1"/>
    </xf>
    <xf borderId="7" fillId="0" fontId="30" numFmtId="0" xfId="0" applyAlignment="1" applyBorder="1" applyFont="1">
      <alignment horizontal="center" readingOrder="0" shrinkToFit="0" wrapText="0"/>
    </xf>
    <xf borderId="0" fillId="7" fontId="13" numFmtId="0" xfId="0" applyAlignment="1" applyFont="1">
      <alignment horizontal="center" readingOrder="0" shrinkToFit="0" vertical="center" wrapText="0"/>
    </xf>
    <xf borderId="4" fillId="7" fontId="13" numFmtId="0" xfId="0" applyAlignment="1" applyBorder="1" applyFont="1">
      <alignment horizontal="center" shrinkToFit="0" vertical="center" wrapText="1"/>
    </xf>
    <xf borderId="4" fillId="0" fontId="30" numFmtId="0" xfId="0" applyAlignment="1" applyBorder="1" applyFont="1">
      <alignment readingOrder="0" shrinkToFit="0" vertical="bottom" wrapText="0"/>
    </xf>
    <xf borderId="4" fillId="4" fontId="13" numFmtId="0" xfId="0" applyAlignment="1" applyBorder="1" applyFont="1">
      <alignment horizontal="center" shrinkToFit="0" vertical="center" wrapText="1"/>
    </xf>
    <xf borderId="4" fillId="4" fontId="13" numFmtId="0" xfId="0" applyAlignment="1" applyBorder="1" applyFont="1">
      <alignment horizontal="center" readingOrder="0" shrinkToFit="0" vertical="center" wrapText="1"/>
    </xf>
    <xf borderId="4" fillId="26" fontId="9" numFmtId="0" xfId="0" applyAlignment="1" applyBorder="1" applyFont="1">
      <alignment horizontal="left" readingOrder="0" shrinkToFit="0" vertical="center" wrapText="1"/>
    </xf>
    <xf borderId="4" fillId="4" fontId="9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4" fillId="25" fontId="4" numFmtId="0" xfId="0" applyAlignment="1" applyBorder="1" applyFont="1">
      <alignment horizontal="center" readingOrder="0" shrinkToFit="0" vertical="center" wrapText="1"/>
    </xf>
    <xf borderId="0" fillId="22" fontId="1" numFmtId="0" xfId="0" applyAlignment="1" applyFont="1">
      <alignment horizontal="center" readingOrder="0" shrinkToFit="0" wrapText="1"/>
    </xf>
    <xf borderId="0" fillId="22" fontId="1" numFmtId="0" xfId="0" applyAlignment="1" applyFont="1">
      <alignment readingOrder="0" shrinkToFit="0" wrapText="1"/>
    </xf>
    <xf borderId="0" fillId="4" fontId="4" numFmtId="0" xfId="0" applyAlignment="1" applyFont="1">
      <alignment readingOrder="0" shrinkToFit="0" wrapText="1"/>
    </xf>
    <xf borderId="0" fillId="4" fontId="4" numFmtId="0" xfId="0" applyAlignment="1" applyFont="1">
      <alignment readingOrder="0" shrinkToFit="0" wrapText="1"/>
    </xf>
    <xf borderId="0" fillId="7" fontId="4" numFmtId="0" xfId="0" applyAlignment="1" applyFont="1">
      <alignment readingOrder="0" shrinkToFit="0" wrapText="1"/>
    </xf>
    <xf borderId="0" fillId="7" fontId="4" numFmtId="0" xfId="0" applyAlignment="1" applyFont="1">
      <alignment readingOrder="0" shrinkToFit="0" wrapText="1"/>
    </xf>
    <xf borderId="0" fillId="9" fontId="3" numFmtId="0" xfId="0" applyAlignment="1" applyFont="1">
      <alignment readingOrder="0" shrinkToFit="0" wrapText="1"/>
    </xf>
    <xf borderId="0" fillId="9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4" fillId="6" fontId="3" numFmtId="0" xfId="0" applyAlignment="1" applyBorder="1" applyFont="1">
      <alignment horizontal="center" readingOrder="0"/>
    </xf>
    <xf borderId="4" fillId="8" fontId="3" numFmtId="0" xfId="0" applyAlignment="1" applyBorder="1" applyFont="1">
      <alignment horizontal="center" readingOrder="0"/>
    </xf>
    <xf borderId="4" fillId="27" fontId="3" numFmtId="0" xfId="0" applyAlignment="1" applyBorder="1" applyFill="1" applyFont="1">
      <alignment horizontal="center" readingOrder="0" shrinkToFit="0" wrapText="1"/>
    </xf>
    <xf borderId="4" fillId="27" fontId="3" numFmtId="0" xfId="0" applyAlignment="1" applyBorder="1" applyFont="1">
      <alignment horizontal="center" readingOrder="0"/>
    </xf>
    <xf borderId="4" fillId="3" fontId="3" numFmtId="0" xfId="0" applyAlignment="1" applyBorder="1" applyFont="1">
      <alignment horizontal="center" readingOrder="0"/>
    </xf>
    <xf borderId="4" fillId="5" fontId="3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4" fillId="0" fontId="4" numFmtId="167" xfId="0" applyAlignment="1" applyBorder="1" applyFont="1" applyNumberFormat="1">
      <alignment horizontal="center" readingOrder="0"/>
    </xf>
    <xf borderId="4" fillId="0" fontId="4" numFmtId="0" xfId="0" applyAlignment="1" applyBorder="1" applyFont="1">
      <alignment horizontal="center"/>
    </xf>
    <xf borderId="3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4" fillId="6" fontId="3" numFmtId="0" xfId="0" applyAlignment="1" applyBorder="1" applyFont="1">
      <alignment horizontal="center" readingOrder="0" shrinkToFit="0" vertical="center" wrapText="1"/>
    </xf>
    <xf borderId="4" fillId="8" fontId="3" numFmtId="0" xfId="0" applyAlignment="1" applyBorder="1" applyFont="1">
      <alignment horizontal="center" readingOrder="0" shrinkToFit="0" vertical="center" wrapText="1"/>
    </xf>
    <xf borderId="4" fillId="27" fontId="3" numFmtId="0" xfId="0" applyAlignment="1" applyBorder="1" applyFont="1">
      <alignment horizontal="center" readingOrder="0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4" fillId="5" fontId="3" numFmtId="0" xfId="0" applyAlignment="1" applyBorder="1" applyFont="1">
      <alignment horizontal="center" readingOrder="0" shrinkToFit="0" vertical="center" wrapText="1"/>
    </xf>
    <xf borderId="4" fillId="0" fontId="47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30" numFmtId="169" xfId="0" applyAlignment="1" applyBorder="1" applyFont="1" applyNumberFormat="1">
      <alignment horizontal="center" readingOrder="0" shrinkToFit="0" wrapText="0"/>
    </xf>
    <xf borderId="4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readingOrder="0" vertical="center"/>
    </xf>
    <xf borderId="4" fillId="0" fontId="4" numFmtId="164" xfId="0" applyAlignment="1" applyBorder="1" applyFont="1" applyNumberFormat="1">
      <alignment readingOrder="0"/>
    </xf>
    <xf borderId="4" fillId="0" fontId="4" numFmtId="14" xfId="0" applyAlignment="1" applyBorder="1" applyFont="1" applyNumberFormat="1">
      <alignment readingOrder="0"/>
    </xf>
    <xf quotePrefix="1" borderId="4" fillId="0" fontId="4" numFmtId="0" xfId="0" applyAlignment="1" applyBorder="1" applyFont="1">
      <alignment readingOrder="0"/>
    </xf>
    <xf borderId="4" fillId="0" fontId="4" numFmtId="3" xfId="0" applyAlignment="1" applyBorder="1" applyFont="1" applyNumberForma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D6CFE0"/>
          <bgColor rgb="FFD6CFE0"/>
        </patternFill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3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!All Circle -style">
      <tableStyleElement dxfId="3" type="firstRowStripe"/>
      <tableStyleElement dxfId="2" type="secondRowStripe"/>
      <tableStyleElement dxfId="5" type="totalRow"/>
    </tableStyle>
    <tableStyle count="3" pivot="0" name="Detail1-Denpasar-Ryan shobwatur-style">
      <tableStyleElement dxfId="6" type="headerRow"/>
      <tableStyleElement dxfId="7" type="firstRowStripe"/>
      <tableStyleElement dxfId="2" type="secondRowStripe"/>
    </tableStyle>
    <tableStyle count="3" pivot="0" name="Summary CJ-style">
      <tableStyleElement dxfId="1" type="headerRow"/>
      <tableStyleElement dxfId="2" type="firstRowStripe"/>
      <tableStyleElement dxfId="3" type="secondRowStripe"/>
    </tableStyle>
    <tableStyle count="2" pivot="0" name="Summary CJ-style 2">
      <tableStyleElement dxfId="2" type="firstRowStripe"/>
      <tableStyleElement dxfId="3" type="secondRowStripe"/>
    </tableStyle>
    <tableStyle count="2" pivot="0" name="Summary CJ-style 3">
      <tableStyleElement dxfId="3" type="firstRowStripe"/>
      <tableStyleElement dxfId="2" type="secondRowStripe"/>
    </tableStyle>
    <tableStyle count="2" pivot="0" name="Summary CJ-style 4">
      <tableStyleElement dxfId="3" type="firstRowStripe"/>
      <tableStyleElement dxfId="2" type="secondRowStripe"/>
    </tableStyle>
    <tableStyle count="2" pivot="0" name="Summary CJ-style 5">
      <tableStyleElement dxfId="2" type="firstRowStripe"/>
      <tableStyleElement dxfId="3" type="secondRowStripe"/>
    </tableStyle>
    <tableStyle count="2" pivot="0" name="Summary CJ-style 6">
      <tableStyleElement dxfId="2" type="firstRowStripe"/>
      <tableStyleElement dxfId="3" type="secondRowStripe"/>
    </tableStyle>
    <tableStyle count="2" pivot="0" name="Summary CJ-style 7">
      <tableStyleElement dxfId="2" type="firstRowStripe"/>
      <tableStyleElement dxfId="3" type="secondRowStripe"/>
    </tableStyle>
    <tableStyle count="2" pivot="0" name="Summary CJ-style 8">
      <tableStyleElement dxfId="2" type="firstRowStripe"/>
      <tableStyleElement dxfId="3" type="secondRowStripe"/>
    </tableStyle>
    <tableStyle count="2" pivot="0" name="Summary EJ-style">
      <tableStyleElement dxfId="2" type="firstRowStripe"/>
      <tableStyleElement dxfId="3" type="secondRowStripe"/>
    </tableStyle>
    <tableStyle count="4" pivot="0" name="Summary BN-style">
      <tableStyleElement dxfId="1" type="headerRow"/>
      <tableStyleElement dxfId="2" type="firstRowStripe"/>
      <tableStyleElement dxfId="3" type="secondRowStripe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2.xml"/><Relationship Id="rId19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Accumulation Performance Promotor Circle Java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Edukasi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'All Circle'!$J$6:$J$8</c:f>
            </c:strRef>
          </c:cat>
          <c:val>
            <c:numRef>
              <c:f>'All Circle'!$K$6:$K$8</c:f>
              <c:numCache/>
            </c:numRef>
          </c:val>
        </c:ser>
        <c:ser>
          <c:idx val="1"/>
          <c:order val="1"/>
          <c:tx>
            <c:v>Rebuy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'All Circle'!$J$6:$J$8</c:f>
            </c:strRef>
          </c:cat>
          <c:val>
            <c:numRef>
              <c:f>'All Circle'!$L$6:$L$8</c:f>
              <c:numCache/>
            </c:numRef>
          </c:val>
        </c:ser>
        <c:ser>
          <c:idx val="2"/>
          <c:order val="2"/>
          <c:tx>
            <c:v>SUM of Jumlah penjualan Kartu Perdana - isi dengan angka. Cth: 2 
Akusisi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'All Circle'!$J$6:$J$8</c:f>
            </c:strRef>
          </c:cat>
          <c:val>
            <c:numRef>
              <c:f>'All Circle'!$M$6:$M$8</c:f>
              <c:numCache/>
            </c:numRef>
          </c:val>
        </c:ser>
        <c:axId val="238224387"/>
        <c:axId val="2252303"/>
      </c:barChart>
      <c:catAx>
        <c:axId val="23822438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52303"/>
      </c:catAx>
      <c:valAx>
        <c:axId val="22523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822438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'!All Circle '!$W$19:$W$21</c:f>
            </c:strRef>
          </c:cat>
          <c:val>
            <c:numRef>
              <c:f>'!All Circle '!$X$19:$X$21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'!All Circle '!$W$19:$W$21</c:f>
            </c:strRef>
          </c:cat>
          <c:val>
            <c:numRef>
              <c:f>'!All Circle '!$Y$19:$Y$21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'!All Circle '!$W$19:$W$21</c:f>
            </c:strRef>
          </c:cat>
          <c:val>
            <c:numRef>
              <c:f>'!All Circle '!$Z$19:$Z$21</c:f>
              <c:numCache/>
            </c:numRef>
          </c:val>
        </c:ser>
        <c:overlap val="100"/>
        <c:axId val="1880064247"/>
        <c:axId val="676630"/>
      </c:barChart>
      <c:catAx>
        <c:axId val="18800642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Bali Nusra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6630"/>
      </c:catAx>
      <c:valAx>
        <c:axId val="6766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006424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'!All Circle '!$W$26:$W$28</c:f>
            </c:strRef>
          </c:cat>
          <c:val>
            <c:numRef>
              <c:f>'!All Circle '!$X$26:$X$28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'!All Circle '!$W$26:$W$28</c:f>
            </c:strRef>
          </c:cat>
          <c:val>
            <c:numRef>
              <c:f>'!All Circle '!$Y$26:$Y$28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'!All Circle '!$W$26:$W$28</c:f>
            </c:strRef>
          </c:cat>
          <c:val>
            <c:numRef>
              <c:f>'!All Circle '!$Z$26:$Z$28</c:f>
              <c:numCache/>
            </c:numRef>
          </c:val>
        </c:ser>
        <c:overlap val="100"/>
        <c:axId val="1053469880"/>
        <c:axId val="506557781"/>
      </c:barChart>
      <c:catAx>
        <c:axId val="10534698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East Java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6557781"/>
      </c:catAx>
      <c:valAx>
        <c:axId val="5065577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346988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'!All Circle '!$W$11:$W$14</c:f>
            </c:strRef>
          </c:cat>
          <c:val>
            <c:numRef>
              <c:f>'!All Circle '!$X$11:$X$14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'!All Circle '!$W$11:$W$14</c:f>
            </c:strRef>
          </c:cat>
          <c:val>
            <c:numRef>
              <c:f>'!All Circle '!$Y$11:$Y$14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'!All Circle '!$W$11:$W$14</c:f>
            </c:strRef>
          </c:cat>
          <c:val>
            <c:numRef>
              <c:f>'!All Circle '!$Z$11:$Z$14</c:f>
              <c:numCache/>
            </c:numRef>
          </c:val>
        </c:ser>
        <c:overlap val="100"/>
        <c:axId val="1821018345"/>
        <c:axId val="1006932396"/>
      </c:barChart>
      <c:catAx>
        <c:axId val="182101834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Central Java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6932396"/>
      </c:catAx>
      <c:valAx>
        <c:axId val="10069323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101834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Performance Promotor Circle Java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'!All Circle '!$X$3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'!All Circle '!$W$4:$W$6</c:f>
            </c:strRef>
          </c:cat>
          <c:val>
            <c:numRef>
              <c:f>'!All Circle '!$X$4:$X$6</c:f>
              <c:numCache/>
            </c:numRef>
          </c:val>
        </c:ser>
        <c:ser>
          <c:idx val="1"/>
          <c:order val="1"/>
          <c:tx>
            <c:strRef>
              <c:f>'!All Circle '!$Y$3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'!All Circle '!$W$4:$W$6</c:f>
            </c:strRef>
          </c:cat>
          <c:val>
            <c:numRef>
              <c:f>'!All Circle '!$Y$4:$Y$6</c:f>
              <c:numCache/>
            </c:numRef>
          </c:val>
        </c:ser>
        <c:ser>
          <c:idx val="2"/>
          <c:order val="2"/>
          <c:tx>
            <c:strRef>
              <c:f>'!All Circle '!$Z$3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'!All Circle '!$W$4:$W$6</c:f>
            </c:strRef>
          </c:cat>
          <c:val>
            <c:numRef>
              <c:f>'!All Circle '!$Z$4:$Z$6</c:f>
              <c:numCache/>
            </c:numRef>
          </c:val>
        </c:ser>
        <c:ser>
          <c:idx val="3"/>
          <c:order val="3"/>
          <c:tx>
            <c:strRef>
              <c:f>'!All Circle '!$AA$3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'!All Circle '!$W$4:$W$6</c:f>
            </c:strRef>
          </c:cat>
          <c:val>
            <c:numRef>
              <c:f>'!All Circle '!$AA$4:$AA$6</c:f>
              <c:numCache/>
            </c:numRef>
          </c:val>
        </c:ser>
        <c:axId val="847839294"/>
        <c:axId val="949667561"/>
      </c:barChart>
      <c:catAx>
        <c:axId val="8478392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9667561"/>
      </c:catAx>
      <c:valAx>
        <c:axId val="9496675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783929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180975</xdr:colOff>
      <xdr:row>3</xdr:row>
      <xdr:rowOff>66675</xdr:rowOff>
    </xdr:from>
    <xdr:ext cx="5715000" cy="29051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34</xdr:col>
      <xdr:colOff>133350</xdr:colOff>
      <xdr:row>0</xdr:row>
      <xdr:rowOff>133350</xdr:rowOff>
    </xdr:from>
    <xdr:ext cx="6486525" cy="1762125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34</xdr:col>
      <xdr:colOff>133350</xdr:colOff>
      <xdr:row>16</xdr:row>
      <xdr:rowOff>161925</xdr:rowOff>
    </xdr:from>
    <xdr:ext cx="6486525" cy="1895475"/>
    <xdr:graphicFrame>
      <xdr:nvGraphicFramePr>
        <xdr:cNvPr id="3" name="Chart 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34</xdr:col>
      <xdr:colOff>133350</xdr:colOff>
      <xdr:row>5</xdr:row>
      <xdr:rowOff>171450</xdr:rowOff>
    </xdr:from>
    <xdr:ext cx="6486525" cy="2343150"/>
    <xdr:graphicFrame>
      <xdr:nvGraphicFramePr>
        <xdr:cNvPr id="4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27</xdr:col>
      <xdr:colOff>619125</xdr:colOff>
      <xdr:row>0</xdr:row>
      <xdr:rowOff>133350</xdr:rowOff>
    </xdr:from>
    <xdr:ext cx="6172200" cy="62579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373" sheet="Form Responses 1"/>
  </cacheSource>
  <cacheFields>
    <cacheField name="Timestamp">
      <sharedItems containsDate="1" containsMixedTypes="1">
        <d v="2026-07-01T20:36:15Z"/>
        <d v="2026-07-02T17:12:04Z"/>
        <d v="2026-07-03T20:52:33Z"/>
        <d v="2026-07-06T11:59:24Z"/>
        <d v="2026-07-06T12:03:59Z"/>
        <d v="2026-07-06T19:51:38Z"/>
        <d v="2026-07-07T18:15:23Z"/>
        <d v="2026-06-30T19:34:13Z"/>
        <d v="2026-07-02T11:17:14Z"/>
        <d v="2026-07-03T14:19:15Z"/>
        <d v="2026-07-02T18:02:42Z"/>
        <d v="2026-07-03T19:33:22Z"/>
        <d v="2026-07-06T12:01:01Z"/>
        <d v="2026-07-06T19:51:56Z"/>
        <d v="2026-07-07T21:50:42Z"/>
        <d v="2026-06-30T17:13:39Z"/>
        <d v="2026-07-01T18:08:06Z"/>
        <d v="2026-07-02T16:00:25Z"/>
        <d v="2026-07-03T17:33:09Z"/>
        <d v="2026-07-06T09:11:50Z"/>
        <d v="2026-07-06T16:04:57Z"/>
        <d v="2026-07-07T16:33:26Z"/>
        <d v="2026-07-02T18:17:52Z"/>
        <d v="2026-07-03T20:59:31Z"/>
        <d v="2026-07-06T09:06:10Z"/>
        <d v="2026-07-06T21:25:13Z"/>
        <d v="2026-07-07T18:40:06Z"/>
        <d v="2026-06-29T20:01:56Z"/>
        <d v="2026-06-30T18:47:22Z"/>
        <d v="2026-07-01T19:06:15Z"/>
        <d v="2026-07-02T19:40:10Z"/>
        <d v="2026-07-03T19:40:01Z"/>
        <d v="2026-07-07T16:43:09Z"/>
        <d v="2026-07-07T16:46:17Z"/>
        <d v="2026-07-07T16:49:31Z"/>
        <d v="2026-07-01T22:12:10Z"/>
        <d v="2026-07-02T20:25:24Z"/>
        <d v="2026-07-03T22:31:13Z"/>
        <d v="2026-07-06T12:58:58Z"/>
        <d v="2026-07-06T15:09:31Z"/>
        <d v="2026-07-06T22:54:05Z"/>
        <d v="2026-07-01T19:48:18Z"/>
        <d v="2026-07-03T16:12:19Z"/>
        <d v="2026-07-06T09:28:44Z"/>
        <d v="2026-07-06T16:53:08Z"/>
        <d v="2026-07-07T15:49:37Z"/>
        <d v="2026-07-02T09:26:07Z"/>
        <d v="2026-07-03T20:30:31Z"/>
        <d v="2026-07-06T09:34:34Z"/>
        <d v="2026-07-06T21:34:07Z"/>
        <d v="2026-07-07T22:05:23Z"/>
        <d v="2026-07-01T22:00:31Z"/>
        <d v="2026-07-02T16:23:34Z"/>
        <d v="2026-07-03T16:23:55Z"/>
        <d v="2026-07-07T20:56:27Z"/>
        <d v="2026-06-29T18:00:16Z"/>
        <d v="2026-06-30T17:52:37Z"/>
        <d v="2026-07-01T19:04:06Z"/>
        <d v="2026-07-02T19:11:24Z"/>
        <d v="2026-07-06T08:57:04Z"/>
        <d v="2026-07-06T19:37:43Z"/>
        <d v="2026-07-07T22:39:10Z"/>
        <d v="2026-06-29T21:29:39Z"/>
        <d v="2026-06-30T23:05:12Z"/>
        <d v="2026-07-01T21:26:46Z"/>
        <d v="2026-07-02T22:54:07Z"/>
        <d v="2026-07-03T22:54:52Z"/>
        <d v="2026-07-06T22:22:07Z"/>
        <d v="2026-07-06T09:16:37Z"/>
        <d v="2026-07-07T22:10:39Z"/>
        <d v="2026-06-24T16:19:15Z"/>
        <d v="2026-06-25T17:53:24Z"/>
        <d v="2026-06-26T18:58:00Z"/>
        <d v="2026-06-27T20:23:01Z"/>
        <d v="2026-06-29T20:25:24Z"/>
        <d v="2026-06-30T20:11:42Z"/>
        <d v="2026-06-23T18:53:28Z"/>
        <d v="2026-06-24T19:33:04Z"/>
        <d v="2026-06-28T23:54:09Z"/>
        <d v="2026-06-29T22:30:54Z"/>
        <d v="2026-06-30T20:56:48Z"/>
        <d v="2026-07-06T22:10:12Z"/>
        <d v="2026-07-06T22:15:59Z"/>
        <d v="2026-07-06T22:51:17Z"/>
        <d v="2026-06-25T22:30:52Z"/>
        <d v="2026-06-26T23:50:05Z"/>
        <d v="2026-06-27T23:21:31Z"/>
        <d v="2026-07-02T23:18:25Z"/>
        <d v="2026-07-03T19:03:29Z"/>
        <d v="2026-07-08T00:02:21Z"/>
        <d v="2026-06-25T23:08:00Z"/>
        <d v="2026-06-26T14:33:39Z"/>
        <d v="2026-06-28T01:22:01Z"/>
        <d v="2026-06-27T22:38:28Z"/>
        <d v="2026-06-28T22:49:46Z"/>
        <d v="2026-07-01T20:12:42Z"/>
        <d v="2026-07-02T20:39:19Z"/>
        <d v="2026-07-03T19:32:07Z"/>
        <d v="2026-07-06T18:48:46Z"/>
        <d v="2026-07-06T20:58:21Z"/>
        <d v="2026-07-07T21:14:50Z"/>
        <d v="2026-07-07T22:36:27Z"/>
        <d v="2026-06-30T21:16:34Z"/>
        <d v="2026-07-01T20:49:55Z"/>
        <d v="2026-07-02T18:28:35Z"/>
        <d v="2026-07-06T19:39:22Z"/>
        <d v="2026-07-06T23:11:57Z"/>
        <d v="2026-07-07T18:17:35Z"/>
        <d v="2026-07-06T18:06:28Z"/>
        <d v="2026-07-07T17:46:59Z"/>
        <d v="2026-07-06T14:01:32Z"/>
        <d v="2026-07-06T19:53:52Z"/>
        <d v="2026-07-06T20:00:42Z"/>
        <d v="2026-07-06T22:37:51Z"/>
        <d v="2026-07-07T18:04:07Z"/>
        <d v="2026-07-01T17:22:26Z"/>
        <d v="2026-07-02T17:23:42Z"/>
        <d v="2026-07-03T18:20:10Z"/>
        <d v="2026-07-06T09:10:25Z"/>
        <d v="2026-07-07T23:26:56Z"/>
        <d v="2026-07-07T23:29:36Z"/>
        <d v="2026-06-24T12:24:57Z"/>
        <d v="2026-06-24T22:14:14Z"/>
        <d v="2026-06-25T21:44:12Z"/>
        <d v="2026-06-26T20:58:24Z"/>
        <d v="2026-06-27T22:16:04Z"/>
        <d v="2026-06-29T21:34:31Z"/>
        <d v="2026-06-30T21:56:08Z"/>
        <d v="2026-07-01T21:13:30Z"/>
        <d v="2026-07-03T02:18:29Z"/>
        <d v="2026-07-04T06:28:58Z"/>
        <d v="2026-07-06T13:51:28Z"/>
        <d v="2026-07-06T21:34:31Z"/>
        <d v="2026-07-07T22:41:03Z"/>
        <d v="2026-06-30T16:02:41Z"/>
        <d v="2026-07-01T16:58:54Z"/>
        <d v="2026-07-02T16:02:05Z"/>
        <d v="2026-07-03T16:01:29Z"/>
        <d v="2026-07-04T16:12:15Z"/>
        <d v="2026-07-06T16:39:33Z"/>
        <d v="2026-07-07T16:33:49Z"/>
        <d v="2026-06-30T22:45:22Z"/>
        <d v="2026-06-27T22:30:54Z"/>
        <d v="2026-06-28T22:15:54Z"/>
        <d v="2026-06-29T22:20:44Z"/>
        <d v="2026-06-30T22:50:39Z"/>
        <d v="2026-07-01T22:59:38Z"/>
        <d v="2026-07-03T00:24:38Z"/>
        <d v="2026-07-03T23:47:30Z"/>
        <d v="2026-07-07T07:45:11Z"/>
        <d v="2026-07-07T07:51:54Z"/>
        <d v="2026-07-07T07:56:26Z"/>
        <d v="2026-07-07T22:46:54Z"/>
        <d v="2026-07-01T21:38:44Z"/>
        <d v="2026-07-02T20:18:11Z"/>
        <d v="2026-07-03T21:23:55Z"/>
        <d v="2026-07-06T14:50:21Z"/>
        <d v="2026-07-06T23:36:12Z"/>
        <d v="2026-06-30T17:18:19Z"/>
        <d v="2026-07-07T21:39:05Z"/>
        <d v="2026-06-30T17:50:26Z"/>
        <d v="2026-06-23T22:30:50Z"/>
        <d v="2026-06-24T22:28:49Z"/>
        <d v="2026-06-25T22:44:21Z"/>
        <d v="2026-06-27T22:59:30Z"/>
        <d v="2026-06-30T22:47:39Z"/>
        <d v="2026-06-30T22:53:36Z"/>
        <d v="2026-07-01T20:46:33Z"/>
        <d v="2026-07-03T22:45:08Z"/>
        <d v="2026-07-03T22:51:31Z"/>
        <d v="2026-07-06T22:36:48Z"/>
        <d v="2026-07-07T08:17:35Z"/>
        <d v="2026-07-07T22:48:34Z"/>
        <d v="2026-07-02T20:09:24Z"/>
        <d v="2026-06-30T19:05:25Z"/>
        <d v="2026-06-30T21:28:54Z"/>
        <d v="2026-07-01T22:09:40Z"/>
        <d v="2026-07-03T23:59:14Z"/>
        <d v="2026-07-06T09:17:48Z"/>
        <d v="2026-07-07T00:06:45Z"/>
        <d v="2026-07-07T23:24:20Z"/>
        <d v="2026-06-29T18:15:11Z"/>
        <d v="2026-07-06T21:21:23Z"/>
        <d v="2026-06-25T21:42:11Z"/>
        <d v="2026-06-26T19:20:09Z"/>
        <d v="2026-06-27T15:55:00Z"/>
        <d v="2026-06-30T21:32:06Z"/>
        <d v="2026-07-01T21:15:34Z"/>
        <d v="2026-07-02T19:15:42Z"/>
        <d v="2026-07-03T18:34:24Z"/>
        <d v="2026-07-06T15:30:29Z"/>
        <d v="2026-07-07T21:43:50Z"/>
        <d v="2026-07-01T22:12:47Z"/>
        <d v="2026-07-02T17:36:43Z"/>
        <d v="2026-07-03T19:57:55Z"/>
        <d v="2026-07-06T14:32:28Z"/>
        <d v="2026-07-06T19:35:32Z"/>
        <d v="2026-07-07T20:30:02Z"/>
        <d v="2026-06-29T17:14:27Z"/>
        <d v="2026-07-01T19:24:04Z"/>
        <d v="2026-07-02T22:25:36Z"/>
        <d v="2026-07-03T21:09:41Z"/>
        <d v="2026-07-04T17:13:33Z"/>
        <d v="2026-07-06T11:15:56Z"/>
        <d v="2026-07-06T18:58:59Z"/>
        <d v="2026-07-01T17:59:41Z"/>
        <d v="2026-07-03T06:41:57Z"/>
        <d v="2026-07-06T22:16:04Z"/>
        <d v="2026-06-29T18:38:22Z"/>
        <d v="2026-06-30T15:56:12Z"/>
        <d v="2026-07-01T17:51:34Z"/>
        <d v="2026-07-02T16:15:08Z"/>
        <d v="2026-07-03T16:05:37Z"/>
        <d v="2026-07-06T09:29:55Z"/>
        <d v="2026-07-06T16:29:16Z"/>
        <d v="2026-07-07T16:34:29Z"/>
        <d v="2026-06-22T17:56:39Z"/>
        <d v="2026-06-23T21:14:48Z"/>
        <d v="2026-06-24T19:59:31Z"/>
        <d v="2026-06-24T20:03:56Z"/>
        <d v="2026-06-26T10:39:24Z"/>
        <d v="2026-06-27T08:43:44Z"/>
        <d v="2026-06-28T21:40:40Z"/>
        <d v="2026-06-29T22:33:56Z"/>
        <d v="2026-06-30T22:56:10Z"/>
        <d v="2026-07-02T00:40:59Z"/>
        <d v="2026-07-02T21:41:46Z"/>
        <d v="2026-07-03T23:16:55Z"/>
        <d v="2026-07-06T09:22:34Z"/>
        <d v="2026-07-06T22:36:15Z"/>
        <d v="2026-07-07T22:19:10Z"/>
        <d v="2026-06-30T23:02:51Z"/>
        <d v="2026-06-30T23:06:01Z"/>
        <d v="2026-07-01T23:33:26Z"/>
        <d v="2026-07-02T23:27:56Z"/>
        <d v="2026-07-06T13:35:01Z"/>
        <d v="2026-07-04T01:03:34Z"/>
        <d v="2026-06-23T22:19:46Z"/>
        <d v="2026-06-28T16:20:14Z"/>
        <d v="2026-06-28T16:28:12Z"/>
        <d v="2026-06-29T17:50:12Z"/>
        <d v="2026-06-29T17:57:05Z"/>
        <d v="2026-06-30T10:41:09Z"/>
        <d v="2026-07-01T12:08:05Z"/>
        <d v="2026-07-06T09:41:23Z"/>
        <d v="2026-07-06T22:47:36Z"/>
        <d v="2026-07-07T22:43:42Z"/>
        <d v="2026-07-03T20:31:28Z"/>
        <d v="2026-06-30T16:39:40Z"/>
        <d v="2026-07-01T17:37:30Z"/>
        <d v="2026-07-02T21:08:37Z"/>
        <d v="2026-07-07T21:12:38Z"/>
        <d v="2026-07-02T17:57:10Z"/>
        <d v="2026-07-03T17:53:30Z"/>
        <d v="2026-07-06T11:54:56Z"/>
        <d v="2026-07-06T20:00:52Z"/>
        <d v="2026-07-07T23:36:50Z"/>
        <d v="2026-06-29T21:50:39Z"/>
        <d v="2026-06-30T21:54:51Z"/>
        <d v="2026-07-01T22:01:22Z"/>
        <d v="2026-07-03T21:43:11Z"/>
        <d v="2026-07-07T20:08:39Z"/>
        <d v="2026-06-25T22:00:23Z"/>
        <d v="2026-06-27T00:52:22Z"/>
        <d v="2026-06-29T00:53:03Z"/>
        <d v="2026-06-30T11:00:48Z"/>
        <d v="2026-07-02T22:44:08Z"/>
        <d v="2026-07-07T10:53:05Z"/>
        <d v="2026-07-07T22:59:53Z"/>
        <d v="2026-07-07T17:20:03Z"/>
        <d v="2026-06-29T20:41:00Z"/>
        <d v="2026-06-30T16:36:46Z"/>
        <d v="2026-07-01T18:33:18Z"/>
        <d v="2026-07-02T17:06:16Z"/>
        <d v="2026-07-06T09:29:44Z"/>
        <d v="2026-07-07T17:00:48Z"/>
        <d v="2026-07-06T09:03:32Z"/>
        <d v="2026-06-29T17:11:24Z"/>
        <d v="2026-06-30T16:38:58Z"/>
        <d v="2026-07-01T17:36:35Z"/>
        <d v="2026-07-02T17:34:57Z"/>
        <d v="2026-07-03T19:04:40Z"/>
        <d v="2026-07-06T17:23:56Z"/>
        <d v="2026-07-07T18:03:52Z"/>
        <d v="2026-06-22T13:55:02Z"/>
        <d v="2026-06-23T21:35:42Z"/>
        <d v="2026-06-24T19:31:09Z"/>
        <d v="2026-06-25T20:17:36Z"/>
        <d v="2026-06-27T18:41:26Z"/>
        <d v="2026-06-27T18:44:18Z"/>
        <d v="2026-06-30T21:27:33Z"/>
        <d v="2026-06-30T21:30:08Z"/>
        <d v="2026-07-02T17:38:36Z"/>
        <d v="2026-07-02T17:42:57Z"/>
        <d v="2026-07-04T17:31:25Z"/>
        <d v="2026-07-07T08:14:15Z"/>
        <d v="2026-07-07T08:17:49Z"/>
        <d v="2026-07-07T08:20:40Z"/>
        <d v="2026-07-07T20:21:07Z"/>
        <d v="2026-07-01T20:06:16Z"/>
        <d v="2026-07-06T19:41:58Z"/>
        <d v="2026-07-06T20:15:39Z"/>
        <d v="2026-07-03T20:46:44Z"/>
        <d v="2026-07-03T20:53:25Z"/>
        <d v="2026-07-06T09:45:16Z"/>
        <d v="2026-07-06T18:21:57Z"/>
        <d v="2026-06-23T18:55:07Z"/>
        <d v="2026-06-25T00:11:08Z"/>
        <d v="2026-06-26T05:24:21Z"/>
        <d v="2026-06-26T17:27:25Z"/>
        <d v="2026-06-28T11:06:37Z"/>
        <d v="2026-06-30T08:25:00Z"/>
        <d v="2026-06-30T19:51:34Z"/>
        <d v="2026-07-01T18:03:57Z"/>
        <d v="2026-07-02T20:33:27Z"/>
        <d v="2026-07-07T19:47:05Z"/>
        <d v="2026-06-23T21:11:00Z"/>
        <d v="2026-06-24T22:05:28Z"/>
        <d v="2026-06-25T21:13:48Z"/>
        <d v="2026-06-26T19:10:36Z"/>
        <d v="2026-06-27T21:29:59Z"/>
        <d v="2026-06-29T21:36:19Z"/>
        <d v="2026-06-30T18:10:07Z"/>
        <d v="2026-07-01T20:57:56Z"/>
        <d v="2026-07-02T18:23:49Z"/>
        <d v="2026-07-03T19:16:59Z"/>
        <d v="2026-07-06T10:05:50Z"/>
        <d v="2026-07-06T20:45:23Z"/>
        <d v="2026-07-07T17:58:40Z"/>
        <d v="2026-07-02T21:36:47Z"/>
        <d v="2026-07-03T22:22:46Z"/>
        <d v="2026-07-06T23:36:40Z"/>
        <d v="2026-07-07T00:00:40Z"/>
        <d v="2026-07-07T23:33:53Z"/>
        <d v="2026-07-08T15:15:49Z"/>
        <d v="2026-07-08T15:25:36Z"/>
        <d v="2026-07-08T15:35:22Z"/>
        <d v="2026-07-08T15:45:17Z"/>
        <d v="2026-07-08T16:09:30Z"/>
        <d v="2026-07-08T17:04:08Z"/>
        <d v="2026-07-08T17:35:30Z"/>
        <d v="2026-07-08T18:21:01Z"/>
        <d v="2026-07-08T18:40:47Z"/>
        <d v="2026-07-08T18:44:51Z"/>
        <d v="2026-07-08T18:52:03Z"/>
        <d v="2026-07-08T18:55:13Z"/>
        <d v="2026-07-08T19:01:24Z"/>
        <d v="2026-07-08T19:02:05Z"/>
        <d v="2026-07-08T19:08:36Z"/>
        <d v="2026-07-08T19:18:30Z"/>
        <d v="2026-07-08T19:18:39Z"/>
        <d v="2026-07-08T19:46:50Z"/>
        <d v="2026-07-08T19:47:31Z"/>
        <d v="2026-07-08T19:53:25Z"/>
        <d v="2026-07-08T19:54:23Z"/>
        <d v="2026-07-08T19:58:52Z"/>
        <d v="2026-07-08T20:09:42Z"/>
        <d v="2026-07-08T20:48:29Z"/>
        <s v="Timestamp"/>
      </sharedItems>
    </cacheField>
    <cacheField name="Hari &amp; Tanggal">
      <sharedItems containsDate="1" containsMixedTypes="1">
        <d v="2026-07-01T00:00:00Z"/>
        <d v="2026-07-02T00:00:00Z"/>
        <d v="2026-07-03T00:00:00Z"/>
        <d v="2026-07-04T00:00:00Z"/>
        <d v="2026-07-05T00:00:00Z"/>
        <d v="2026-07-06T00:00:00Z"/>
        <d v="2026-07-07T00:00:00Z"/>
        <d v="2026-06-30T00:00:00Z"/>
        <d v="2026-06-29T00:00:00Z"/>
        <d v="2026-06-24T00:00:00Z"/>
        <d v="2026-06-25T00:00:00Z"/>
        <d v="2026-06-26T00:00:00Z"/>
        <d v="2026-06-27T00:00:00Z"/>
        <d v="2026-06-23T00:00:00Z"/>
        <d v="2026-06-28T00:00:00Z"/>
        <d v="1985-12-27T00:00:00Z"/>
        <d v="2026-06-22T00:00:00Z"/>
        <d v="2026-07-30T00:00:00Z"/>
        <d v="2000-05-30T00:00:00Z"/>
        <d v="2026-07-08T00:00:00Z"/>
        <s v="Hari &amp; Tanggal"/>
      </sharedItems>
    </cacheField>
    <cacheField name="Region" numFmtId="0">
      <sharedItems>
        <s v="East Java (Jatim)"/>
        <s v="Central Java (Jateng)"/>
        <s v="Bali Nusra"/>
        <s v="Region"/>
      </sharedItems>
    </cacheField>
    <cacheField name="Area Penempatan" numFmtId="0">
      <sharedItems>
        <s v="Surabaya"/>
        <s v="Malang"/>
        <s v="Semarang"/>
        <s v="Jember"/>
        <s v="Yogyakarta"/>
        <s v="Solo"/>
        <s v="Sleman"/>
        <s v="Singaraja"/>
        <s v="Gianyar"/>
        <s v="Denpasar"/>
        <s v="Area Penempatan"/>
      </sharedItems>
    </cacheField>
    <cacheField name="Nama Promotor" numFmtId="0">
      <sharedItems>
        <s v="Adit"/>
        <s v="aulia farah "/>
        <s v="Bagus Nurul Khamid"/>
        <s v="Destya Kamilia"/>
        <s v="Devi kumala novianti"/>
        <s v="Dewi Kumalasari "/>
        <s v="Dimas"/>
        <s v="Dina Anita Veronica"/>
        <s v="Dinda Nur Afifa"/>
        <s v="Eka"/>
        <s v="Emillia"/>
        <s v="Endah Widowati"/>
        <s v="Erlis Krisnawati"/>
        <s v="Eva diana"/>
        <s v="Fandi Ahmad"/>
        <s v="Fira Daniarsa putri"/>
        <s v="Ganis Ghaniyy Rohim "/>
        <s v="Hasjuliana "/>
        <s v="Ika Isnaini"/>
        <s v="Ika Mayestika"/>
        <s v="Keiky Junieta"/>
        <s v="Lia Kurniawaty "/>
        <s v="Lubna intan fadhilah"/>
        <s v="M Mikail Azka (Kaka)"/>
        <s v="Miranda Putri Patrisia"/>
        <s v="Natalia Rizki Aria Wijaya "/>
        <s v="NEHA NAURA HERWIN"/>
        <s v="Ni Kadek Novik Resya Putri"/>
        <s v="Nia Febriyanti"/>
        <s v="NOOR ROOFI JUNMANTINI"/>
        <s v="Nurul Hidayah"/>
        <s v="Predika Tri Aditya "/>
        <s v="Putri"/>
        <s v="Rafi Sabilillah"/>
        <s v="Rebeka tiara busono"/>
        <s v="resita putri anggraini"/>
        <s v="Ika Prawitasari"/>
        <s v="Rheiza"/>
        <s v="Rizky pratama dewi"/>
        <s v="Ryan shobwatur rizal"/>
        <s v="Septy maulida ( sely )"/>
        <s v="Sugiyanti "/>
        <s v="SYAHRUL HADI MAULANA"/>
        <s v="Tasya Intan Maharani "/>
        <s v="Tiara Putri Ramadhani "/>
        <s v="Ulfa Faizatul Laily"/>
        <s v="Vian Erviana Reilyani"/>
        <s v="Viantrini"/>
        <s v="vina lailatul"/>
        <s v="Zazha Adelia Soetikno"/>
        <s v="Zumalia Suci Retnowati "/>
        <s v="Imanuel Levi"/>
        <s v="Nama Promotor"/>
      </sharedItems>
    </cacheField>
    <cacheField name="Nama Outlet" numFmtId="0">
      <sharedItems>
        <s v="Axoo Cell"/>
        <s v="Axoo"/>
        <s v="joker cell"/>
        <s v="King Tronik 2"/>
        <s v="Area semarang selatan"/>
        <s v="Prasanjaya"/>
        <s v="Prasanjaya Oulet"/>
        <s v="Semarang"/>
        <s v="Aristo"/>
        <s v="Aristo cell"/>
        <s v="Gazwah 2"/>
        <s v="Gazwah 2 "/>
        <s v="Savira cell"/>
        <s v="UMY"/>
        <s v="Java Cell"/>
        <s v="Nirmala Cell "/>
        <s v="-"/>
        <s v="BMC CELL"/>
        <s v="S5"/>
        <s v="S5 Jojoran"/>
        <s v="Gowes Cell"/>
        <s v="mox cell"/>
        <s v="Prasanjaya Cell"/>
        <s v="Event Workshop Gemini AI at Univ STIE MALANG KUCECWARA"/>
        <s v="Prasanjaya Cell &amp; Univ BRAWIJAYA"/>
        <s v="Prasanjaya Cell ,Univ Brawijaya , Univ Malang Kucecwara"/>
        <s v="Avoraya cell dan Univ Brawijaya"/>
        <s v="Puskrip "/>
        <s v="Puskrip"/>
        <s v="Gowes card"/>
        <s v="Gowes card "/>
        <s v="upn "/>
        <s v="Area kampus Jogja "/>
        <s v="Jogja"/>
        <s v="Lets go card"/>
        <s v="Amos cell"/>
        <s v="SPY cell "/>
        <s v="Semesta Cell"/>
        <s v="Go green"/>
        <s v="Goo green UII "/>
        <s v="Wifi cell"/>
        <s v="Amos"/>
        <s v="Putra Voucher"/>
        <s v="Nirmala Cell"/>
        <s v="Nirmalla cell"/>
        <s v="Malioboro"/>
        <s v="Edgar cell"/>
        <s v="Altar"/>
        <s v="Kampus ISI &amp; Kampus PGRI"/>
        <s v="Malioboro "/>
        <s v="Kampus ISI "/>
        <s v="Kampus UAD "/>
        <s v="Kampus PGRI"/>
        <s v="XT Square "/>
        <s v="Kampus PGRI "/>
        <s v="Nafiri pom"/>
        <s v="hi bizz"/>
        <s v="nafiri"/>
        <s v="Tuedi cell"/>
        <s v="SKA CELL"/>
        <s v="DNA UMY"/>
        <s v="Hibizz"/>
        <s v="Graha Komunika"/>
        <s v="Graha Komunika "/>
        <s v="HI-BIZZ"/>
        <s v="Event Seminar kampus Polines "/>
        <s v="Mitra Cell"/>
        <s v="Blitz sekitar Kampus Udinus"/>
        <s v="Event Seminar AI kampus Universitas Dian Nuswantoro (UDINUS)"/>
        <s v="Avoraya cell "/>
        <s v="WK CELL"/>
        <s v="Kampus uty "/>
        <s v="Gazwah 1"/>
        <s v="AGUDIA Cell"/>
        <s v="AGUDIACell"/>
        <s v="Dominan"/>
        <s v="Dominan cell"/>
        <s v="Abiyu cell"/>
        <s v="TFT cell"/>
        <s v="Susan cell"/>
        <s v="Public Cell"/>
        <s v="Kampus ISI dan sekitarnya "/>
        <s v="Kampus janabadra dan sekitarnya "/>
        <s v="GGS"/>
        <s v="GANTENG GANTENG SELULER"/>
        <s v="Jogja Card "/>
        <s v="Bionic cell"/>
        <s v="Bionic Cell "/>
        <s v="Jogja card"/>
        <s v="Giga data"/>
        <s v="Micron cell"/>
        <s v="Micron"/>
        <s v="Micron cell "/>
        <s v="Event seminar polines"/>
        <s v="Putra mandiri cell"/>
        <s v="Kimo cell"/>
        <s v="Kimo cell "/>
        <s v="President Cell"/>
        <s v="Nama Outlet"/>
        <s v="King Tronik 3"/>
      </sharedItems>
    </cacheField>
    <cacheField name="Upload Foto Kehadiran dengan Time Stamp (untuk Bukti Kehadiran)" numFmtId="0">
      <sharedItems>
        <s v="https://drive.google.com/open?id=1ccOL6O0qsZ-h7GEBmipzs5VF9_fU9UdS"/>
        <s v="https://drive.google.com/open?id=1pP1PFCL5MvYSTvJesoC3RTaMulxyzc1Y"/>
        <s v="https://drive.google.com/open?id=1kmvtKpGqoZS-l2lGYqb5Kt_uG3Vhv2WQ"/>
        <s v="https://drive.google.com/open?id=10Giv1XZ8ISnD-FUHIKK2O2xsauGpe6XE"/>
        <s v="https://drive.google.com/open?id=1RlOpJEm8ofct5timSYMFlt1rNSX0aXBA"/>
        <s v="https://drive.google.com/open?id=1d0LsUXNfizhT_DdhdXZ7lgxDX6QWEaAQ"/>
        <s v="https://drive.google.com/open?id=10HznNW7UBxz1q8l_1rTim23LX_on83jv"/>
        <s v="https://drive.google.com/open?id=1YFeZ9gk3zAR2gUqvBJfb37HYXITqOVpF"/>
        <s v="https://drive.google.com/open?id=1b7aGPzXPgZFexnXlOQEijf5iNBo2urSv"/>
        <s v="https://drive.google.com/open?id=1O9TF1e9NajKkRGH5gYb7ki7V7mfzyvYe"/>
        <s v="https://drive.google.com/open?id=1ptFOwcEdsuaE1u-5NPTnrCs41k4xrhBB"/>
        <s v="https://drive.google.com/open?id=1qOeb0Ri8k3_YJkeo0VbCslkOevyzc_GL"/>
        <s v="https://drive.google.com/open?id=1VMd7uuzPN2QaEQcLnYsdCKKawxrlGuYa"/>
        <s v="https://drive.google.com/open?id=1UJQ9sVOvviMHO9KVx53aMmBz0ahMwMle"/>
        <s v="https://drive.google.com/open?id=1ozmAyV4Jq4laNpo_e5TTCBw_g6ALDJTI"/>
        <s v="https://drive.google.com/open?id=15XLaHVT6344HbUUaU_tpfvFghPuvsmUP"/>
        <s v="https://drive.google.com/open?id=1DFBoH9NuybQZwxveJC_4MugC_F5gERtv"/>
        <s v="https://drive.google.com/open?id=1GFyMwR3g2m-Z9cjc9mj8XguaIMtTD8Uq"/>
        <s v="https://drive.google.com/open?id=1YS-bxN-l0wxy33THHQ1Njc1z44Vjamr5"/>
        <s v="https://drive.google.com/open?id=1ILj8WFkbiFAkzvXMcnai-1kNec63olJA"/>
        <s v="https://drive.google.com/open?id=1MSxlbdyuZRtctdDNY0ZAlXE2b44KCllF"/>
        <s v="https://drive.google.com/open?id=1_hToEA1MgSx59SjZzDEVoxck553nYlL5"/>
        <s v="https://drive.google.com/open?id=1ufday6VpH6jJ70WIqK5up39BEXtzv0N8"/>
        <s v="https://drive.google.com/open?id=1lBkuIKFCxm_sAhGnmHmfWF-nru43w09m"/>
        <s v="https://drive.google.com/open?id=1FjnT-WpWKcJzizec_ndC-TylHrf29yLZ"/>
        <s v="https://drive.google.com/open?id=1nwf9lwZ_QWifA_q7qhneOgB4c-AoKu07"/>
        <s v="https://drive.google.com/open?id=1ven4XjWfV0fnB_eQFalUE6qv49u-kp3-"/>
        <s v="https://drive.google.com/open?id=1v-PJACEVbuCV5VY1UV_QEQN4VN9oZ7AR"/>
        <s v="https://drive.google.com/open?id=1huLYprj-tZHTe50pcEVu-CAOvGvrqUpl"/>
        <s v="https://drive.google.com/open?id=1B8chfwGowqW0GnGzLoaKq7s4D3g1KwnK"/>
        <s v="https://drive.google.com/open?id=1u9KDnHadq3oKrAfIt4AOPRUvJof8y3Nw"/>
        <s v="https://drive.google.com/open?id=11Nn5pWSfXAs0bEKQyU07oI83GpcudPPc"/>
        <s v="https://drive.google.com/open?id=1SU9hnyve91ubwMLoUZemARU92LctEePD"/>
        <s v="https://drive.google.com/open?id=1trOpM8KfN-i2s1mguF84SGOMmAa43Esg"/>
        <s v="https://drive.google.com/open?id=1kIgMuWBIYGD2FaP2k5DNFw2P3UFggCyl"/>
        <s v="https://drive.google.com/open?id=1NOv6eQ0iclyH2l4RqOorojd8_Zo9Qatl"/>
        <s v="https://drive.google.com/open?id=1I7MdHDcuRhN662oK94dWv-NQAOgVMvE8"/>
        <s v="https://drive.google.com/open?id=1-brV3os7kzsupGug6mC9Ympi42psBX49"/>
        <s v="https://drive.google.com/open?id=1daU6twRF75vMguIfPJWXcptez0_crZcg"/>
        <s v="https://drive.google.com/open?id=1x7bW647GnBi2HQPcYQqYNzTaLsbxnPtF"/>
        <s v="https://drive.google.com/open?id=12DlQ2a7OEvISY7BH-qL-w7k3Yh_iWi6D"/>
        <s v="https://drive.google.com/open?id=1W-ejAyWKgUzZAZ-VMskbWyCUFJsFOQTr"/>
        <s v="https://drive.google.com/open?id=1UodWyzc6UhpKOXEyKe_eMr6rpfxw_Pwi"/>
        <s v="https://drive.google.com/open?id=16xBqMqG17sjxjoik9vlMG0oDS6G2jMv4"/>
        <s v="https://drive.google.com/open?id=14xZAV3mC1Cf3HFIsVPmW2jMGb05A8ANk"/>
        <s v="https://drive.google.com/open?id=1DlcAe8wcNXql6PnoUnWSUVAcPOpy8mOY"/>
        <s v="https://drive.google.com/open?id=1NHwLXN7GbMNrUJJVy9-91HXCXJ1pbbpz"/>
        <s v="https://drive.google.com/open?id=1leSLW_SOKpWhSFQsWf2Gu3K0X404BwQQ"/>
        <s v="https://drive.google.com/open?id=1AtwdQjm25aHxyRgkxye_irZkHEKflYQm"/>
        <s v="https://drive.google.com/open?id=1hcVTrO7xvWulYjTjUhMqnzwccWmS7MZJ"/>
        <s v="https://drive.google.com/open?id=1FbVixRolCBNcSx_EpRVbZqQKt7rpGJQn"/>
        <s v="https://drive.google.com/open?id=1auIopl0M8vvF88YpMQ_FEElDNhDpZbiZ"/>
        <s v="https://drive.google.com/open?id=1iAf9UfuW837RnXojKgUkv7NSmPPQDxxZ"/>
        <s v="https://drive.google.com/open?id=1EImRpIWy9rKuDwDGa8ekB_I3kSZ54inQ"/>
        <s v="https://drive.google.com/open?id=1ajig0nKWirL5XQUSVKS3c9IovaUvtfxR"/>
        <s v="https://drive.google.com/open?id=1GZS5x_cuhloaej9bqkKcRlgOWCkwPdYv"/>
        <s v="https://drive.google.com/open?id=1QlfYDJfFEPfvisefEqRaT6m7J68ERb8l"/>
        <s v="https://drive.google.com/open?id=1Lz0ZEajq5LPWE7tMfeJzCBk7xs9kkW03"/>
        <s v="https://drive.google.com/open?id=1cD9zV9wqFDWPEaqwd2kmo9XjKu4uEQ88"/>
        <s v="https://drive.google.com/open?id=1M7lTLmVqErvUfpixp2tuiJsNndpoqqzY"/>
        <s v="https://drive.google.com/open?id=1cuCbVVWOugphrES-FMjck7jg0CytObuW"/>
        <s v="https://drive.google.com/open?id=1pMSF0X4WST5emaW25PnS9qX9asJgYHDz"/>
        <s v="https://drive.google.com/open?id=1ZtkyDxA9YB0wFQyVO_AW2rjrnU9YYOo4"/>
        <s v="https://drive.google.com/open?id=1qSUXtCNARYgM4WyaC8RAAKnj4tTjY45n"/>
        <s v="https://drive.google.com/open?id=1lpIEL5KQJn-6cSgO-c_R5b2BkU1aWyfF"/>
        <s v="https://drive.google.com/open?id=1JtslwcqIab8WBg3fSu0RqopGxwow6tjd"/>
        <s v="https://drive.google.com/open?id=1ckV_I_bRynVWOWFV37jCEgr8amAzilhf"/>
        <s v="https://drive.google.com/open?id=1zZBHH_f_8XBmCNajlnSB7e5Ep5rUqLp8"/>
        <s v="https://drive.google.com/open?id=1H5CiXdZXI_K0TmQi1ehbmyNCc2UCcOKD"/>
        <s v="https://drive.google.com/open?id=11aryR-8krlxzY6_0xtHYpd6T4iKadX1_"/>
        <s v="https://drive.google.com/open?id=1dyjPFFRBsRMIXBa0JLNrcjmYIgI8wMNl"/>
        <s v="https://drive.google.com/open?id=1dNITfnD8xHpGuoqEQ2blpmRQfVtzqciQ"/>
        <s v="https://drive.google.com/open?id=1f1jiw1EW67xE7i7BGzSro8dzvwqRPnnL"/>
        <s v="https://drive.google.com/open?id=1WQ_USx67-uGNsIe757FJakGKM3TVZa3I"/>
        <s v="https://drive.google.com/open?id=15KOYcEYOWXc8lsHcwWCAuc9ymsfXbX-x"/>
        <s v="https://drive.google.com/open?id=1dOtCAma7cRmynD7RMBF6YSRhjroyjfs4"/>
        <s v="https://drive.google.com/open?id=1X8NHm6OPR94u4Ns-sAIlghrBkKQIBkmh"/>
        <s v="https://drive.google.com/open?id=1XjfCA75pTlWrFW-Xjr62s2OuQ2NlALmL"/>
        <s v="https://drive.google.com/open?id=1Xyuobyq5Txo_VK390oVwnqILvC1pamqd"/>
        <s v="https://drive.google.com/open?id=19JFZgR7uJyHs8BHMaIrDN1mlJaZhLjXC"/>
        <s v="https://drive.google.com/open?id=1LQY2stskx1fPUKvYdxSd604fWc5LtaDy"/>
        <s v="https://drive.google.com/open?id=1r73W9WKFESGTg9Pqx5MppddoeV6mOtFE"/>
        <s v="https://drive.google.com/open?id=1Pd6NhprzMrskSbpyFJ-nPVLFV-bgQ5J3"/>
        <s v="https://drive.google.com/open?id=1IQFLp4zTamiJOolWY-F5d7s5r7Y_PaiL"/>
        <s v="https://drive.google.com/open?id=1j5kh2rm5qGYQVvdw0P1cRtOP1Nffcqt5"/>
        <s v="https://drive.google.com/open?id=1mBRQSlmdZYdz9pmAdB0w-TRm4SYSg0Kq"/>
        <s v="https://drive.google.com/open?id=1qiFA3iYs9s889YbyYswJoBWOHFFWTcil"/>
        <s v="https://drive.google.com/open?id=1m8c5_niisgMQiaQdLlpAonzKyiA1a22B"/>
        <s v="https://drive.google.com/open?id=1zfjB29V-CgpDCFN4tx2l8xNKiPhA1VVo"/>
        <s v="https://drive.google.com/open?id=1v0-uFwfL41GeUK-SXR6Sqzf-daxbqxD6"/>
        <s v="https://drive.google.com/open?id=1ZXGEr4YX7eJ6VdytpCxtfqHHEjMi7TBx"/>
        <s v="https://drive.google.com/open?id=1PtY4QjuF0Ohcy1e5EHWNSjyeBcJ2ND4A"/>
        <s v="https://drive.google.com/open?id=1U4xWQHmovRP9qdApNl_OwLwcyUKNwdih"/>
        <s v="https://drive.google.com/open?id=1CnHubORfyWbGobY6OEn7o_VTRBFw_oJp"/>
        <s v="https://drive.google.com/open?id=1ZgaT7eecfClqSsFGYy8MQFr8GNXxUGkz"/>
        <s v="https://drive.google.com/open?id=1eKJuZoCCUGWZhR3XeZ3_Zz6irSQHPgBe"/>
        <s v="https://drive.google.com/open?id=1afrXp1GplTLUzM4xXT75WiJuoN-ngnkL"/>
        <s v="https://drive.google.com/open?id=1YhXDxouA4Zz0EqEU_4z97bkjg7FiqV5w"/>
        <s v="https://drive.google.com/open?id=1uFlaaj7Zxc-e9hjEES1loK032FCQzThs"/>
        <s v="https://drive.google.com/open?id=1VhPk_Ji8snrZnSZYF_jmtHbuakvY5EWr"/>
        <s v="https://drive.google.com/open?id=1d-7QcBr-t76Qkl_FSejTfjwHiMLiTXWe"/>
        <s v="https://drive.google.com/open?id=1x6L-chsZEj2Yp7WD5YUubAKC5NzbWe0a"/>
        <s v="https://drive.google.com/open?id=1SWdCif-MnfBtA13pb1HMZdtM0gm6-TES"/>
        <s v="https://drive.google.com/open?id=1tuvzV-7rglTeUEvf5-J1OjiRRC22Ze4q"/>
        <s v="https://drive.google.com/open?id=11R4PNwv-irrEsEPYAqs5Eq34R6xv3IhM"/>
        <s v="https://drive.google.com/open?id=1G_SqeueCQQSWLcFtrbS_la0ESJip8pNf"/>
        <s v="https://drive.google.com/open?id=1LyDye81TJygMqdey5FD-0iOKOSolo1fO"/>
        <s v="https://drive.google.com/open?id=1zJwDGGMwYsUpRdxiKXCN8Yg8WWKEEv1H"/>
        <s v="https://drive.google.com/open?id=1DPXMDyw12Z3J_IwIb1kfeQ-AM5dNdKDh"/>
        <s v="https://drive.google.com/open?id=1b41kFd2xTjAiB9Piym8yuzdCVwxZNrRo"/>
        <s v="https://drive.google.com/open?id=1UB9GD86reOnw5bwF4Cg8J5QZzmOJih3W"/>
        <s v="https://drive.google.com/open?id=1aDaFMu1zZX447EQHpJu0s5o0W5oYSAmB"/>
        <s v="https://drive.google.com/open?id=1NuLyBuYWXUUuOfg3OGz2dpkrEsEdAHDF"/>
        <s v="https://drive.google.com/open?id=1j0_0iRtsoMCYgDytQa3t6KxLz6Cfe1Na"/>
        <s v="https://drive.google.com/open?id=18TOoPvs0MrMrklZlBNke3rsSMWpSFyax"/>
        <s v="https://drive.google.com/open?id=183u35J4NvZLqa-kljkDwzL2-I1V28sp4"/>
        <s v="https://drive.google.com/open?id=1iyL_bLjQXM1WPnDM_aOLiHdckKWR6T5J"/>
        <s v="https://drive.google.com/open?id=1SQbHASMJTf-QyUXKtVRFpB1dOccs870i"/>
        <s v="https://drive.google.com/open?id=1QuOS4fhRCD9X8D-C1Nd6NUK4ldRlq3Tl"/>
        <s v="https://drive.google.com/open?id=1uMOfnHSNWOz6XXRRi1G1efZB6X-Nqy_F"/>
        <s v="https://drive.google.com/open?id=1m097LVQG6F4nO2MT2IaY4SNa_KfiFy5_"/>
        <s v="https://drive.google.com/open?id=1wkD-UWKYgrYhkKQPQ9K42qVUdTgUPU_w"/>
        <s v="https://drive.google.com/open?id=1Gp9bTdevxY54eo8x7_jQJKDbod84SfIm"/>
        <s v="https://drive.google.com/open?id=1xEP_7S1ImS1zWcVWFGkepdsV5YOcuxyL"/>
        <s v="https://drive.google.com/open?id=1rikBbU5nYbXwrrGhWmJ4hPcJf1R3TnfF"/>
        <s v="https://drive.google.com/open?id=1EQublzc7LBgMdzbtbQUVrZdsy83NVlTq"/>
        <s v="https://drive.google.com/open?id=1XVyLD72oNv9N61aOJa41exxawoUf_qPf"/>
        <s v="https://drive.google.com/open?id=1-yQRxNEIkts4CN4P2oVTj_AFPmTjehjP"/>
        <s v="https://drive.google.com/open?id=19McwleiiPtHKEmF_u1Rp-sCdskRiS_Tt"/>
        <s v="https://drive.google.com/open?id=1T-mJOUCktA_9FQAeN5OpDBxz7oFpgqUo"/>
        <s v="https://drive.google.com/open?id=1SbnPNPziakaSq0xGgjbiL7FSScEIDeGV"/>
        <s v="https://drive.google.com/open?id=12fIWKEoel87dmu35og3vB-f0q5eVhxBz"/>
        <s v="https://drive.google.com/open?id=1b2Ydf2R7x-8PMzsHXiSLxtxXKI8VK6hU"/>
        <s v="https://drive.google.com/open?id=1tF7ij7t2z_ZTXKbMUfI43N30LxJOXXUx"/>
        <s v="https://drive.google.com/open?id=1H4od1g1GlsJJ-DEx6vQ5DZg7JJZ00weZ"/>
        <s v="https://drive.google.com/open?id=1vfGwj5gZYDgpF13WT1G9h4k4ysf1uv24"/>
        <s v="https://drive.google.com/open?id=1lt6t7j3jZYA0_KvOp4guzXWSRFYd9Ssp"/>
        <s v="https://drive.google.com/open?id=1M9hnCJQ4s9Pjp5eeXIeCgjBSEsCoTprF"/>
        <s v="https://drive.google.com/open?id=1Hmia61S0gTJtGrc14MRiHNMcdcF77hoq"/>
        <s v="https://drive.google.com/open?id=1FGU6xHOLUtuUMd5WBkFe9cvLxfMupdrw"/>
        <s v="https://drive.google.com/open?id=1TfG1hBZsEOyVYYIR-bnqs1CQHxpI-ttR"/>
        <s v="https://drive.google.com/open?id=1jkYo2QhN7ndUBsVWMZR4KFE4RYtHN871"/>
        <s v="https://drive.google.com/open?id=1GxNktriFJgB0856lHWPju0UVF9jUQ-f3"/>
        <s v="https://drive.google.com/open?id=1jFyg2p5XYllDeik3eV6FxZZjhFtYfd_f"/>
        <s v="https://drive.google.com/open?id=1Dy-QlArYOZj2QW5j7f8mvid2pCVf7NHe"/>
        <s v="https://drive.google.com/open?id=1hj1WHohz66ypWjLikVWqmnoOioA2lBl1"/>
        <s v="https://drive.google.com/open?id=1Sa6YoJAMDIrjKLUMptEHCb6MWb5LKASo"/>
        <s v="https://drive.google.com/open?id=1_g1kmed52bzszacDhMDqYYJ7Vvw-jwDk"/>
        <s v="https://drive.google.com/open?id=1vMWaK3lMiqPHz6WpbiCj087idn4URj-b"/>
        <s v="https://drive.google.com/open?id=1xZQ784S2xRvm6Ipgk3SdQUjAXZCFIo6l"/>
        <s v="https://drive.google.com/open?id=19dcKNloRPhdTPKeX8XwBYzQZz7HejNAQ"/>
        <s v="https://drive.google.com/open?id=1kgPjhSjVDLMKGxinkx38YElMoNMw2j1g"/>
        <s v="https://drive.google.com/open?id=16s9oMZXEkw7nApYH7n8DE5sP44A38TA3"/>
        <s v="https://drive.google.com/open?id=1TdauXtm0wwPzqLnWA_So2NbsnwgCW33J"/>
        <s v="https://drive.google.com/open?id=1PBLYzyfsjWgaMO1J7ABKFPQiMLPm8Sc0"/>
        <s v="https://drive.google.com/open?id=1LCFjfwP8etb19BDDuCEoq1Z5gUJPpKm-"/>
        <s v="https://drive.google.com/open?id=1Zfm1idkueo7EjdBQb1kxqA8crhBjnWIT"/>
        <s v="https://drive.google.com/open?id=1K4unIUXUM3g4MlQ0SvZfn4fMZfJQf8oj"/>
        <s v="https://drive.google.com/open?id=1oOeqqabkOuHMaVcW-XBgfa1fNaE4o5CP"/>
        <s v="https://drive.google.com/open?id=1_BPrOZRa_xKUwCT48Bh7P6kGo58glTGR"/>
        <s v="https://drive.google.com/open?id=1adPIWy4P222K2XIzySLt7S_39-3dk9cb"/>
        <s v="https://drive.google.com/open?id=18RRYdLBvhlWL_Lf06b_NeKywC9-8wTm5"/>
        <s v="https://drive.google.com/open?id=1y1lc7OHTM4RrlAR0xsbErS18P8nytwmV"/>
        <s v="https://drive.google.com/open?id=1uLeEwuImIRrX6KQSP5QpdW6KsZd5PvHC"/>
        <s v="https://drive.google.com/open?id=1ip9sMrzm1JjbO-QrLlYZ0AWREuKWliG8"/>
        <s v="https://drive.google.com/open?id=1C-56CBwjPEUmFitoXM7STYjqXbupa1vZ"/>
        <s v="https://drive.google.com/open?id=1KZtBbuCqwranFZtAi-PpQwsQokmEy86F"/>
        <s v="https://drive.google.com/open?id=10ilJCoPwnOkzi5I3oYzh32-1AgKNpuzc"/>
        <s v="https://drive.google.com/open?id=1Ldjo9UP_ODjtqO4bg9scVGqXO47eUz24"/>
        <s v="https://drive.google.com/open?id=1zcjgkdBHZIzDRcN4L-ryCk69hw2hcfhq"/>
        <s v="https://drive.google.com/open?id=17G4T_whLfXJPEYyzK3_LPY0PkD0Pj9oJ"/>
        <s v="https://drive.google.com/open?id=1Jtjxa90yuM_TvNXKVhl3oww33tAh9PHZ"/>
        <s v="https://drive.google.com/open?id=1spXShw1SpqcHamu2gbAignj4_8cmLyWm"/>
        <s v="https://drive.google.com/open?id=1B4DHKbPJE9C6tW9pIJsixQ0zWuXFhses"/>
        <s v="https://drive.google.com/open?id=1GIIrUx96N-T5rHcDNH7Q8qKJb8oIzoYw"/>
        <s v="https://drive.google.com/open?id=1sLCRcPDXKngJN9GTg0P_fZWSkJAe34Tu"/>
        <s v="https://drive.google.com/open?id=1uY6Iu7Q6x8SQG_rxrlVca6Bzcu2c4t8Y"/>
        <s v="https://drive.google.com/open?id=1XfCjRxVftK_exqoasZyGZwX5aPMPpNjx"/>
        <s v="https://drive.google.com/open?id=1eWfOu-95LpV5pNEUsV1_T9LtzuJTaMXF"/>
        <s v="https://drive.google.com/open?id=10FbUv1CaINn_muNZcWzu0QK58Pbt18jZ"/>
        <s v="https://drive.google.com/open?id=1WWDxuKvhMcjwgll_va2lDHggWaf03a11"/>
        <s v="https://drive.google.com/open?id=1omrhKyIFBNKWsZ9SiGeYnHlX4cUEovhB"/>
        <s v="https://drive.google.com/open?id=1QVIJ5RM4kzYlN81w2NvzExq4oY38ud9Z"/>
        <s v="https://drive.google.com/open?id=1SHX8-b1kCiHHzx6smEk6fSI3w3mQVEyq"/>
        <s v="https://drive.google.com/open?id=1jLHBcETYUYLRW_KSzxooX1_gTLnMOb_x"/>
        <s v="https://drive.google.com/open?id=1sJ9rgh0-wHRmhfp-rsMH0VySwsYHaadQ"/>
        <s v="https://drive.google.com/open?id=1GnQzfZ9KrMAZkT1xo1SZanJBYLvwG3xf"/>
        <s v="https://drive.google.com/open?id=18r37CPr2Yel_3I9CpNslZbuka2EAIllz"/>
        <s v="https://drive.google.com/open?id=11mT6gyVOwqNo3Lri4RHfSfbtX0kl7mVh"/>
        <s v="https://drive.google.com/open?id=11P0ouXCmoOYpOI7JkLsEuBd_CDoFf1LP"/>
        <s v="https://drive.google.com/open?id=1bvpVXv_4k_5YuyGygZSQj-fjhN4JHOHm"/>
        <s v="https://drive.google.com/open?id=13Wie3_oU1v1PiX0y6eYDCNdbxDaWoVW7"/>
        <s v="https://drive.google.com/open?id=1u0DsCit_zbSbQGVSZ7rtH3CH-afKM6nn"/>
        <s v="https://drive.google.com/open?id=1wxTk2di3qSo5e4UABMu3VGlsIp4JnfUG"/>
        <s v="https://drive.google.com/open?id=1xKUVyoRLudXmmqewF-1whIFa_xGW9ng8"/>
        <s v="https://drive.google.com/open?id=1oOeLP5SG--kXpbDmHz1RW6KBlhBrXvVu"/>
        <s v="https://drive.google.com/open?id=11tAIm6GPO-4DxL5N4AN9RDjguyHw4gZK"/>
        <s v="https://drive.google.com/open?id=1xNrhw3aQLXMBq18qxgD8MKxyAZINlGhv"/>
        <s v="https://drive.google.com/open?id=10D62Ip0XNPbCP25f2XXUZeewi6OR01Nt"/>
        <s v="https://drive.google.com/open?id=1DPFQaCReXUTb2oF8p6Jav28IzJC6zvwK"/>
        <s v="https://drive.google.com/open?id=1HiCNwCE2jVPa1wEVy_fJ0xgxvlujJw8h"/>
        <s v="https://drive.google.com/open?id=1vXVt9s-qhhJOK5FZx9yWbmZ0vV_Fux58"/>
        <s v="https://drive.google.com/open?id=1ka8BOabeuehA2UE6O00jqzgiwTTl-lzo"/>
        <s v="https://drive.google.com/open?id=15ls9NfCTiYVSixpgyV_lCr1g7IIERCC9"/>
        <s v="https://drive.google.com/open?id=1aJ0G6p5OTdlelxFAjWMDxaHPWdBqa33z"/>
        <s v="https://drive.google.com/open?id=1qrUB4FZV--RaWqHMdvQIbfObLVSYEf5w"/>
        <s v="https://drive.google.com/open?id=1GLZdwP8A8fBEpN0cRb1L6mZUQDaPGujT"/>
        <s v="https://drive.google.com/open?id=1lr3xD_i9ASVDsvgs7U2Cmn6GouPmwB1l"/>
        <s v="https://drive.google.com/open?id=1s6GUwOdNGpsqHRhc7qOam7HGKILBJJK7"/>
        <s v="https://drive.google.com/open?id=17uqWj_DBpbh5UrVErzEGsfc-Ur7RZUey"/>
        <s v="https://drive.google.com/open?id=1wI_UO5ePZK7DSq0HOwXdu3lPDsPmFonO"/>
        <s v="https://drive.google.com/open?id=1B7EB8aKC2mJQ8dhEgsprBFvIkBttr923"/>
        <s v="https://drive.google.com/open?id=1mtFsSRVneRiOYMPL5B47uW_CgmGBiMop"/>
        <s v="https://drive.google.com/open?id=1ybL5B9ZxOiWUXl-iA-43sBq4GCnWHl-D"/>
        <s v="https://drive.google.com/open?id=1HjOvBEscheUqCygfYpozshuZA8Utcf7h"/>
        <s v="https://drive.google.com/open?id=1JJlefcwZmQYGQSIC9jsseIlEqJt3kdqR"/>
        <s v="https://drive.google.com/open?id=1BO_-MbGKSZCcBws9UBoHNR1KM8kJAxJN"/>
        <s v="https://drive.google.com/open?id=15ktz0_yMNcmy0hKLIdcuab1GlHPY9sIQ"/>
        <s v="https://drive.google.com/open?id=16d5n2T_YXVuEE2kOpmPxHLpNyCQIEaxL"/>
        <s v="https://drive.google.com/open?id=17iYI_7Ce1Q1er-JdXNII5BBEK86llgIj"/>
        <s v="https://drive.google.com/open?id=15Y-nMWxz1CXkOVqsK21jKq7L90S_HciQ"/>
        <s v="https://drive.google.com/open?id=1xvSeOxBe48nAe0MjEo6rfQFuJ-zFJapP"/>
        <s v="https://drive.google.com/open?id=1m9fscXVyFmSwfcvzNyt2p-ZhJ64w_cu5"/>
        <s v="https://drive.google.com/open?id=1nOCmIsdEGwt62era1rB430vRDmSzRT5d"/>
        <s v="https://drive.google.com/open?id=1yWB8nByNx8E9KS7EXPJyy6ewl6SRG07G"/>
        <s v="https://drive.google.com/open?id=1IQnuiClbUTa80PEZMyhTxMhsyftfN1tb"/>
        <s v="https://drive.google.com/open?id=181wRUIvW4Ow5mbKqI7RNd4B7VmiUsTQq"/>
        <s v="https://drive.google.com/open?id=1kjeg2SWtkIAlOwm4REeSs2FFydkEe9yB"/>
        <s v="https://drive.google.com/open?id=1Zc6jUrBLArO5CLUpm1U29CgofV4-FK2X"/>
        <s v="https://drive.google.com/open?id=19Sj0bCyPz8D3QU640bOpsMHeEJytRMAR"/>
        <s v="https://drive.google.com/open?id=1TAFx-lyNx54g0qWFr-q_5vsBvDw3pvtx"/>
        <s v="https://drive.google.com/open?id=1HwOR3ED9Z2OHABtEV5at5HajydNuMLff"/>
        <s v="https://drive.google.com/open?id=1NLWrKGO-6G8tKntPCF5DShx3xWU8tdcz"/>
        <s v="https://drive.google.com/open?id=1P74FOqGM-gIiG6rC7RXu89ybof9hGIGC"/>
        <s v="https://drive.google.com/open?id=1NK_56hanXsL1OfdGni0JSaYJVHdWowLu"/>
        <s v="https://drive.google.com/open?id=1F4WPIoxEqRJTCZvih0p8U343lxzd2y2I"/>
        <s v="https://drive.google.com/open?id=1QHcq8CjmnD9JXzs0N1AsI_0EgIIg5CSy"/>
        <s v="https://drive.google.com/open?id=1m41PoBHo6_vKVvtBYXYL73g0jBdGQmgk"/>
        <s v="https://drive.google.com/open?id=1a2Wfs1nmn8IplcCkgH4CU527qCbngICe"/>
        <s v="https://drive.google.com/open?id=1fc9Z7SHQFifz0fH8GQFmAoYeakiVHb-k"/>
        <s v="https://drive.google.com/open?id=1vcv1KPxdl_vJ3o5mKxGrCcKWn1gJrqwM"/>
        <s v="https://drive.google.com/open?id=1H3pUQsSkzs-OHvSwVQv_KloW9HQp3fWW"/>
        <s v="https://drive.google.com/open?id=1XNq5RAGBEKbzszNkrltbh9hanFySrmgL"/>
        <s v="https://drive.google.com/open?id=1be06nXCNXDpTaqUK0MIJTb2I3niSVoWH"/>
        <s v="https://drive.google.com/open?id=1201p3G_kM7SyeYVgJT0rQpVxnfNVT81t"/>
        <s v="https://drive.google.com/open?id=1v_w5zX97YdTec2g72okfeJF3OdCLPaYD"/>
        <s v="https://drive.google.com/open?id=1sWYrpr3ODJPfzZiLn1AlMOrJGs8Kd-BP"/>
        <s v="https://drive.google.com/open?id=15p1hHEvL_6drhRD645Bjo5cManPcBihC"/>
        <s v="https://drive.google.com/open?id=1DcXTeN8m_rKDeMnoEBJC57p0JckEVDHu"/>
        <s v="https://drive.google.com/open?id=1vPcYfeSF3J_xCVfeTKfyrxExrXk7zWv5"/>
        <s v="https://drive.google.com/open?id=1xjiwCU17Pjohd0XMzynVILY9MNm1nNdQ"/>
        <s v="https://drive.google.com/open?id=1BRaw0-O2Bn80XfapxfksZga0u6Y54nwM"/>
        <s v="https://drive.google.com/open?id=11us9PlL_kyq6jhs-yekhOc4yAcSzM_8G"/>
        <s v="https://drive.google.com/open?id=1pchqg5SO-yYVRW2LexxMVphGc-GGpg-3"/>
        <s v="https://drive.google.com/open?id=1xRD_QwbnRzenif6Hj4LRBn1CvUKpJ0r5"/>
        <s v="https://drive.google.com/open?id=1fP50X1bhu3vJ0OUXr6q-X9MnWBaTGZfx"/>
        <s v="https://drive.google.com/open?id=1JrzKa6Ydu1qYH77QZWvjC5mqwUcIlYVC"/>
        <s v="https://drive.google.com/open?id=1uYIrO75VF4srq7sMtc8HCOd2heYCkqKc"/>
        <s v="https://drive.google.com/open?id=1WWqYvIJNAV3AKbmEDyhicCeyKHkb9f-z"/>
        <s v="https://drive.google.com/open?id=1uQ32IWfpYeJGQNgTnboQ_YzIcrDI_hNn"/>
        <s v="https://drive.google.com/open?id=1aeHyJPhI4QNoXZAdMmB35wC5GXrOF5mr"/>
        <s v="https://drive.google.com/open?id=1SeZRzi5dLyRFaBlpPBveDNGsp5xMB6aZ"/>
        <s v="https://drive.google.com/open?id=1jnqobBQp0bScHwNSgKg-zi2QiUbuUQ3t"/>
        <s v="https://drive.google.com/open?id=1U9Gg-jZjQRGOrl7bcxMpVqGf01oFWyoq"/>
        <s v="https://drive.google.com/open?id=1NV6bHKgSeMW6DGjnZSmFTm47JDRUg5oX"/>
        <s v="https://drive.google.com/open?id=1cpbmuCSLFRykqTsmp5s13AUjosE505wq"/>
        <s v="https://drive.google.com/open?id=1_LPPctpW-kmi1Uf7stRiImC-Fu4HQJEI"/>
        <s v="https://drive.google.com/open?id=1k57EEx664d8-_CQFRQO27ksnpjvmj7pc"/>
        <s v="https://drive.google.com/open?id=1y8XU7P_QSfdN1Kk_bDpLuPbBqG8Cjpw1"/>
        <s v="https://drive.google.com/open?id=19Qv45iW4y_FvVeZ5caPfXKI02X3aZTfz"/>
        <s v="https://drive.google.com/open?id=12q8CtOztMxFOq8t8gGlydSVJyIwJDPMR"/>
        <s v="https://drive.google.com/open?id=1B2SV0ODwOYNDnN5GZsqtLAyqH6yWnJ-V"/>
        <s v="https://drive.google.com/open?id=1P6xBWprIwxXiJze0rePGln_rkJ680dDh"/>
        <s v="https://drive.google.com/open?id=1J1sm9Mbk91g7fCg7XXa--lOj8x9RlbY5"/>
        <s v="https://drive.google.com/open?id=1J4Ik5NHveAt9_h1MoINdHwQUj8ZyhEEK"/>
        <s v="https://drive.google.com/open?id=1dvOzogTTR9G7sZAOahOQBwaXg112FMZ5"/>
        <s v="https://drive.google.com/open?id=1l_yaFgJJa6buXrIdQEr-YvTxPpU_r4bT"/>
        <s v="https://drive.google.com/open?id=1mxO2yZUuJpyuBuwzcpehRfOZPFQLv4Yu"/>
        <s v="https://drive.google.com/open?id=12var_5t6QfUbNywYyPNnYkIcCYpziUSU"/>
        <s v="https://drive.google.com/open?id=1xhc89Udp76jBeM6m-Q-lDb_hUacdBib2"/>
        <s v="https://drive.google.com/open?id=1ATRmyiOPoYZF8bL_Uw_0mVh3Rzs5WXXD"/>
        <s v="https://drive.google.com/open?id=1a3xlgFPHkjBCuvFNzgknd9BVnnSTcyug"/>
        <s v="https://drive.google.com/open?id=1QHy_Eq7Z1hhaHOUdcB77pCAskzjRnqS0"/>
        <s v="https://drive.google.com/open?id=1mofbcTU7-coqvX4j29tZta4mvh6nYhRv"/>
        <s v="https://drive.google.com/open?id=1FYD8-sgCRu43ASu2i7_W4z17BBVKX1dX"/>
        <s v="https://drive.google.com/open?id=1bN0oJHzcIHO7bsjHo3-_V0ZygHHu0dsF"/>
        <s v="https://drive.google.com/open?id=14vTxzX-k0mqjhVyCeLxdWMecDCi5bfHd"/>
        <s v="https://drive.google.com/open?id=10Zy2ps6hGLyBIJeyHqSr8lQCEAX74hCi"/>
        <s v="https://drive.google.com/open?id=1QcypxLLH0zWD9Q7XSQiRXXVDxdiWXYc6"/>
        <s v="https://drive.google.com/open?id=16N6lsl4KRs1ao6Smao3OlxDtNJnS_qOl"/>
        <s v="https://drive.google.com/open?id=17CzM1BeYO5BYDEJp35ayHAKrFop8iBg2"/>
        <s v="https://drive.google.com/open?id=1DGl4umIObTxOq4zY8jDuJ_D2it0vk9hn"/>
        <s v="https://drive.google.com/open?id=1Y_uMm0MS8HCGEVpB2QlYrq_Ce7IaYHev"/>
        <s v="https://drive.google.com/open?id=1fnoQHYpiTfsNrqlADadHNbc2-_TRQLHB"/>
        <s v="https://drive.google.com/open?id=1wtDD6Pbxw7NcuSNRh-GNiqesjLtXtDk3"/>
        <s v="https://drive.google.com/open?id=1o7uusQWhr1wB9ScLHDtvL2fBHUkQdnKu"/>
        <s v="https://drive.google.com/open?id=1TIS4rwbPy-9SYXAZEJnuyCmntqTa8wIs"/>
        <s v="https://drive.google.com/open?id=1bmh43xmXvpBRtbHqAU-QKMG8vdxB8Ugf"/>
        <s v="https://drive.google.com/open?id=1bBQPof-m6yWRH7C6sI4O-KPfz4PV0ur9"/>
        <s v="https://drive.google.com/open?id=1HYU4jKq6GZgLG650gvFxpqoPHkmas3Jg"/>
        <s v="https://drive.google.com/open?id=1CRBZvU4eMWrXzY5kbgOqhtwTS3bsEUey"/>
        <s v="https://drive.google.com/open?id=1eEJadFn9ZwBFn6zKivzrZ-uW7aMw_ALe"/>
        <s v="https://drive.google.com/open?id=1kFhnq5YswU5XzldE6AqLXUKmiuej7oIp"/>
        <s v="https://drive.google.com/open?id=1HGCyOyNa0yOZCET92pXQTMR8_12kiKcN"/>
        <s v="https://drive.google.com/open?id=1235tOu0ayNqfe6OdpG_c7TIM4SNIZ8MK"/>
        <s v="https://drive.google.com/open?id=14PLQ-0PzXGA2xU0nZX8KWbLX4ucIPryF"/>
        <s v="https://drive.google.com/open?id=1BacsBPbxBxKAbrLOT0ZRejzMiOHSTHke"/>
        <s v="https://drive.google.com/open?id=1u8fZmNlkYfT6Bjp8KKgEocVUs2wjLmlv"/>
        <s v="https://drive.google.com/open?id=1rQYBo9i342Ke3KAFEQ4f0qX0DPIKzLef"/>
        <s v="https://drive.google.com/open?id=13EbOrbCmtoKpHwlJEPDu44yMkdUJyPiM"/>
        <s v="https://drive.google.com/open?id=1BirQTwI4KcMIfO6sNiKym4Xqkb_BIxTa"/>
        <s v="https://drive.google.com/open?id=1e7BxqUFBc6q6wFQs84ExcTu_BPSvMBWT"/>
        <s v="https://drive.google.com/open?id=1ksGywjuZjo_jgXMOUw7HX28Jjtn36MZU"/>
        <s v="https://drive.google.com/open?id=1BbyUwMsSOOO4jsXfPb9MoNHIQOaHB1y7"/>
        <s v="https://drive.google.com/open?id=1ngDcPFkuicxjJOMyMJ83m3EQkhffCTkC"/>
        <s v="https://drive.google.com/open?id=1N4Vh5WqnZPxcgFeu6SBqcqVqA-HwmPMB"/>
        <s v="https://drive.google.com/open?id=1EhTeeHOmJKcvwDL7gN0AR737CTV8adCn"/>
        <s v="https://drive.google.com/open?id=1TpISR130cuM9GvYZY-ZkDwlyVWo2C0Z9"/>
        <s v="https://drive.google.com/open?id=1A6wrd5RSCUXGw7bmeULftdi2Ywk2NBU8"/>
        <s v="https://drive.google.com/open?id=1Xr-6clWY9L3I97jphE1h57GhuzOHKlJ_"/>
        <s v="https://drive.google.com/open?id=1n7rSHPfal1cpIyoiPfVZRhbXH7lTdD8n"/>
        <s v="https://drive.google.com/open?id=1c2qD1iG1zqdmLrIvWgdT-TmXm4JSgDaz"/>
        <s v="https://drive.google.com/open?id=1iINsq6-w8ZLz22vpIVLi4A3kL7UpcWMv"/>
        <s v="https://drive.google.com/open?id=1yejxZXMvR-ctHsmynQMAKF1tQOjDiz0I"/>
        <s v="https://drive.google.com/open?id=1mdPvcZoIrI7Xz0tz0P7onibFk5Fn47k-"/>
        <s v="https://drive.google.com/open?id=1vXrN7w5kyx8jf8_2Lgvf25uZJcIhoY1S"/>
        <s v="https://drive.google.com/open?id=1f1C70NzyGSMGWzDRhZXeA4uY2F3IlutW"/>
        <s v="https://drive.google.com/open?id=1OzM4ukDF_wEiC33Gwwxy61e3e3wAxM_i"/>
        <s v="https://drive.google.com/open?id=1vIriRkVqmpawEpKwOUxZX6_AEiPv42vL"/>
        <s v="https://drive.google.com/open?id=1fgFmJE2sMVpYA71STro-ZxbXEuvTs3_P"/>
        <s v="https://drive.google.com/open?id=1yqq498E50Eo8cKwAJHXAyZ4IuQBSUUMN"/>
        <s v="https://drive.google.com/open?id=11wai4tAigCfQMFDazWMr0_Y8IbxL-cbl"/>
        <s v="https://drive.google.com/open?id=1Z6IcJYqb9H7aVskKA1EJ2r5USBuM_qdK"/>
        <s v="https://drive.google.com/open?id=1cC--b1J_f9Xy9uSMhHNUKaXRr4jEgZNJ"/>
        <s v="https://drive.google.com/open?id=1PA_CMtDYMUAlgkSixQSD68-mKH9MsZ1z"/>
        <s v="https://drive.google.com/open?id=14FROsu6h5v3ofwvJw9Az7jbsdAtnk9Rq"/>
        <s v="https://drive.google.com/open?id=1ld7NHUfsfWXwWCdv6txMlRxtbOTsRHtH"/>
        <s v="https://drive.google.com/open?id=1gPrSKwr1Tv1MU8d-3hWNBa3QDOW04IUk"/>
        <s v="https://drive.google.com/open?id=1qKOIdVzKVVTmiOIqfDyAF69jE3n-d0an"/>
        <s v="https://drive.google.com/open?id=1O5dIfhgtS3aoNIeIEwIcF7VE4GuTVzgX"/>
        <s v="https://drive.google.com/open?id=1f2MpPL0SPpTxk7tXugnIV4V5XCRpmBL_"/>
        <s v="https://drive.google.com/open?id=1zErZ9JydLQ2Gqdj0jIV3gkHnwVXTc8gh"/>
        <s v="https://drive.google.com/open?id=1b_yUvZDvrhVbQ0k2k3uW5fMnbpHnnz7J"/>
        <s v="https://drive.google.com/open?id=1DrhimAbutNCeS670twSkWbUxGfQUpEEF"/>
        <s v="https://drive.google.com/open?id=141-ZZo6lgNXp5EA0VztGNB9InfBZRpWh"/>
        <s v="https://drive.google.com/open?id=161N8u38b4eo-MR9QQclXm_1_H_ol6Xnj"/>
        <s v="https://drive.google.com/open?id=1Re4xySdHoXXbzhtIkdCtVA9hgCkdgSwu"/>
        <s v="https://drive.google.com/open?id=1Js7s7O0_qEKqyBy25YSzfnisSecqHofG"/>
        <s v="https://drive.google.com/open?id=16oxC-c9tbSoFkGjnomjs1neLOOK6u9KU"/>
        <s v="https://drive.google.com/open?id=1MDwWccIhH8Vv_XUrHX6XlymtF2hx1xkz"/>
        <s v="https://drive.google.com/open?id=1Rh5AYOp2IdAZoTdGqoxPrmuaB49he2Oi"/>
        <s v="https://drive.google.com/open?id=1jKaHOO9gLiCvccFplFQoG-2S3vfbfEci"/>
        <s v="https://drive.google.com/open?id=1t_ozPK9lIviU3mPe35vWjzAp65MBOgFK"/>
        <s v="https://drive.google.com/open?id=1mkf58tqaKaCgSTnpruWlJAvCAFBKkrqH"/>
        <s v="https://drive.google.com/open?id=1DdLXLq3QynBbmRJw8QXPRXGEyXNZfC7Z"/>
        <s v="https://drive.google.com/open?id=1tOfeN9G9KCeuzF9s8OsxFHLKarbn_iR_"/>
        <s v="https://drive.google.com/open?id=1PWd4HpjpbG5HadSKgTAAFygIYTfZq00F"/>
        <s v="https://drive.google.com/open?id=1sr1cXDmoJaUSyeDbYTB4nT8toZYXLr3U"/>
        <s v="Upload Foto Kehadiran dengan Time Stamp (untuk Bukti Kehadiran)"/>
      </sharedItems>
    </cacheField>
    <cacheField name="Jumlah edukasi - isi dengan angka. Cth: 2&#10;&#10;(Target 30 hari: 600 edukasi Gemini)">
      <sharedItems containsMixedTypes="1" containsNumber="1">
        <n v="15.0"/>
        <n v="17.0"/>
        <n v="18.0"/>
        <n v="19.0"/>
        <n v="13.0"/>
        <n v="20.0"/>
        <s v="20 edukasi gemini di kampus"/>
        <n v="23.0"/>
        <n v="27.0"/>
        <n v="10.0"/>
        <s v="* 8"/>
        <s v="*8"/>
        <n v="4.0"/>
        <n v="9.0"/>
        <n v="26.0"/>
        <n v="32.0"/>
        <n v="44.0"/>
        <n v="35.0"/>
        <n v="28.0"/>
        <n v="21.0"/>
        <n v="30.0"/>
        <n v="29.0"/>
        <n v="11.0"/>
        <s v="32 orang (ada beberapa yang tidak terfoto karena ada beberapa yang tidak mau)"/>
        <n v="34.0"/>
        <n v="22.0"/>
        <n v="6.0"/>
        <n v="8.0"/>
        <n v="25.0"/>
        <n v="16.0"/>
        <s v="2-"/>
        <n v="14.0"/>
        <n v="120.0"/>
        <n v="7.0"/>
        <n v="5.0"/>
        <n v="2.0"/>
        <n v="1.0"/>
        <n v="12.0"/>
        <s v="600 edukasi Gemini "/>
        <n v="40.0"/>
        <n v="38.0"/>
        <n v="3.0"/>
        <n v="24.0"/>
        <n v="42.0"/>
        <n v="50.0"/>
        <n v="36.0"/>
        <n v="31.0"/>
        <n v="33.0"/>
        <n v="37.0"/>
        <n v="0.0"/>
        <n v="55.0"/>
        <s v="Jumlah edukasi - isi dengan angka. Cth: 2&#10;&#10;(Target 30 hari: 600 edukasi Gemini)"/>
        <n v="18.5714285714286"/>
        <n v="19.0357142857143"/>
        <n v="19.5"/>
        <n v="19.9642857142857"/>
        <n v="20.4285714285715"/>
        <n v="20.8928571428572"/>
        <n v="21.3571428571429"/>
        <s v="21 edukasi gemini di kampus"/>
        <n v="0.5"/>
        <n v="-6.0"/>
        <s v="* 9"/>
        <s v="*9"/>
      </sharedItems>
    </cacheField>
    <cacheField name="Bukti Foto Edukasi" numFmtId="0">
      <sharedItems containsBlank="1">
        <m/>
        <s v="Bukti Foto Edukasi"/>
      </sharedItems>
    </cacheField>
    <cacheField name="Jumlah penjualan Kartu Perdana - isi dengan angka. Cth: 2 &#10;&#10;(Target 30 hari: 100 Kartu Perdana terjual)">
      <sharedItems containsMixedTypes="1" containsNumber="1">
        <n v="1.0"/>
        <n v="0.0"/>
        <n v="2.0"/>
        <n v="4.0"/>
        <s v="* 2"/>
        <s v="*0"/>
        <n v="3.0"/>
        <s v="-"/>
        <s v="+"/>
        <n v="7.0"/>
        <n v="10.0"/>
        <n v="5.0"/>
        <n v="6.0"/>
        <n v="8.0"/>
        <n v="9.0"/>
        <n v="13.0"/>
        <n v="20.0"/>
        <n v="12.0"/>
        <n v="14.0"/>
        <n v="17.0"/>
        <n v="16.0"/>
        <s v="Jumlah penjualan Kartu Perdana - isi dengan angka. Cth: 2 &#10;&#10;(Target 30 hari: 100 Kartu Perdana terjual)"/>
        <n v="0.89090909090909"/>
        <n v="0.872727272727272"/>
        <n v="0.854545454545453"/>
        <n v="0.836363636363635"/>
        <n v="0.818181818181817"/>
        <n v="0.799999999999999"/>
        <n v="0.781818181818181"/>
        <n v="0.763636363636362"/>
        <n v="0.745454545454544"/>
        <n v="0.727272727272726"/>
        <n v="0.709090909090908"/>
        <s v="* 3"/>
        <s v="*1"/>
      </sharedItems>
    </cacheField>
    <cacheField name="Jumlah penjualan Paket Isi Ulang - isi dengan angka. Cth: 2 &#10;&#10;(Target 30 hari: 200 Paket Isi Ulang terjual)">
      <sharedItems containsMixedTypes="1" containsNumber="1">
        <n v="2.0"/>
        <n v="4.0"/>
        <n v="3.0"/>
        <n v="6.0"/>
        <n v="7.0"/>
        <n v="5.0"/>
        <n v="9.0"/>
        <n v="10.0"/>
        <s v="*0"/>
        <n v="0.0"/>
        <n v="1.0"/>
        <n v="8.0"/>
        <s v="1 rebuy pulsa, 1 voucher "/>
        <s v="- isi ulang data 1 (tri). - isi ulang pulsa 2 (IM3) , voucher 5"/>
        <s v="voucher 5"/>
        <s v="19, voucher 18, isi ulang pulsa 1 "/>
        <s v="voucher 1"/>
        <s v="-"/>
        <n v="20.0"/>
        <s v="- "/>
        <n v="15.0"/>
        <n v="21.0"/>
        <n v="11.0"/>
        <n v="13.0"/>
        <n v="14.0"/>
        <s v="Jumlah penjualan Paket Isi Ulang - isi dengan angka. Cth: 2 &#10;&#10;(Target 30 hari: 200 Paket Isi Ulang terjual)"/>
        <n v="8.21818181818182"/>
        <n v="8.75454545454545"/>
        <n v="9.29090909090909"/>
        <n v="9.82727272727273"/>
        <n v="10.3636363636364"/>
        <n v="10.9"/>
        <n v="11.4363636363636"/>
        <n v="11.9727272727273"/>
        <n v="12.5090909090909"/>
        <n v="13.0454545454545"/>
        <n v="13.5818181818182"/>
      </sharedItems>
    </cacheField>
    <cacheField name="Bukti Foto Penjualan" numFmtId="0">
      <sharedItems containsBlank="1">
        <s v="https://drive.google.com/open?id=1z4SVoYWE52ZAQ2h8WINT3YU4c1HJwC1W"/>
        <s v="https://drive.google.com/open?id=1Zf154JzyIsnKcCjoaiMDj6smMORMmE10"/>
        <s v="https://drive.google.com/open?id=1_tD0mxEcrlbuLrIMTVYoJc_zWA4SI3Dp"/>
        <s v="https://drive.google.com/open?id=1ZFWTkFy0SqW6AuzhSBtMs15gmi93Vn1w"/>
        <s v="https://drive.google.com/open?id=1xuZtx1naQDp3wkPPgrUNQgafjg-sKTs2"/>
        <s v="https://drive.google.com/open?id=1V0RLsshcbPnVsZ2_tmWop5hsAkVAxtAM"/>
        <s v="https://drive.google.com/open?id=1SPzPQEbJgSuA4v9mG0P2UfZ91MrpFD6g"/>
        <s v="https://drive.google.com/open?id=1BBcgB4uGJ7kXoidEP7LYlTeD5F-deJGd"/>
        <s v="https://drive.google.com/open?id=1suvHRBrZqhg93B3_bWUcaIbTqilKf_Hl"/>
        <s v="https://drive.google.com/open?id=1l2d3_N0ZRfFObyrZ5028p-Ld3bXZq2Gv"/>
        <s v="https://drive.google.com/open?id=1s5A23fhoQXag_Np41E0Sn_AmwtiAOI98"/>
        <s v="https://drive.google.com/open?id=1tAf5dKeVd7SNvoX4mqsub7sHd0AbC4OJ"/>
        <m/>
        <s v="https://drive.google.com/open?id=1h8tcQg_3K9qS-RNaJWew-YBRL4z8mKY3"/>
        <s v="https://drive.google.com/open?id=1efdeYMSA29UzuSRhu_WDozMWVL_7kW_f"/>
        <s v="https://drive.google.com/open?id=1T6I1QM9tE9mVo5ZhXdTO4BiCZtY-YsJt"/>
        <s v="https://drive.google.com/open?id=11jZMBMSewGPIFNL4X-bPXX6w2PzECMM3"/>
        <s v="https://drive.google.com/open?id=1jVV_vHExYS0oHT9rMVJhh0bYTR34O5Gn"/>
        <s v="https://drive.google.com/open?id=1kcm1p-XIGSMisqa1TODR4hCOmBH3TSEX"/>
        <s v="https://drive.google.com/open?id=1ufEgi6FeIfsVv-4jWyyzIX2cnGX4VFM7"/>
        <s v="https://drive.google.com/open?id=1I0qNpNtYsN4LHl17JoDXRj4LPEcyBbV5"/>
        <s v="https://drive.google.com/open?id=1p4NOGffBxy5UlNV5Dz1j-XYyw8SRUKJs"/>
        <s v="https://drive.google.com/open?id=1bo7oWrYt4tDw0ACDBFoV_VU1WncLS0HA"/>
        <s v="https://drive.google.com/open?id=1pSkM4NFeERqKPp_YxB1GmifJiStwJ31o"/>
        <s v="https://drive.google.com/open?id=1VgVIkMVNLwcH2gmNl7Oncn0vSb6olPcy"/>
        <s v="https://drive.google.com/open?id=1FtIXd8EnxID4EV15nzGIUKROk9MaIxQb"/>
        <s v="https://drive.google.com/open?id=1tekI-R36tjEMh4UZVlFt-s-6o2f1m-Dz"/>
        <s v="https://drive.google.com/open?id=1UlUE5jdaZXShGGnnu7IwTENR86A8t5Gl"/>
        <s v="https://drive.google.com/open?id=1owE6thnyG4e5SozAllMYrL1wTgG4pLqh"/>
        <s v="https://drive.google.com/open?id=1voX_O-cHGxwTeVhS417lqH2XY06jxa1x"/>
        <s v="https://drive.google.com/open?id=1bgoXNNvEhVUrXPN4JXpNG22m5c0Vsueu"/>
        <s v="https://drive.google.com/open?id=1lEfR19WuOKrsMecn797T3GVD4f-3zyRz"/>
        <s v="https://drive.google.com/open?id=1lHVsDHWP5EsZnNhfSn-l2LLMOlwhIh9B"/>
        <s v="https://drive.google.com/open?id=1NCo18tzgU7dMAlvg-_8PtBXIJ9wIMxF4"/>
        <s v="https://drive.google.com/open?id=1UvhRhm3a4YYPfSOISVLrCzA2tdDKTD-m"/>
        <s v="https://drive.google.com/open?id=12bEUa3HN5GevhbOb2B1jKGecoKrdgy7z"/>
        <s v="https://drive.google.com/open?id=1SJrFXfU6c68lj0aWbmjqcQnt1Br7is6a"/>
        <s v="https://drive.google.com/open?id=1Q5fHAFARB8bSfjDJVuGnrGya7X7xvUb-"/>
        <s v="https://drive.google.com/open?id=138TIiWGH0zMcdC7bXJJRquOKzDV657jJ"/>
        <s v="https://drive.google.com/open?id=1lhpKo6sbA3MbByKHX68YDaCVIxZbksVM"/>
        <s v="https://drive.google.com/open?id=17ckb5DIF5VwC3VPntQ2sJBkgMdMXVjKl"/>
        <s v="https://drive.google.com/open?id=1eGGDPXpLfXnwWmMCQtzRB_NOs9SeUBZ-"/>
        <s v="https://drive.google.com/open?id=16U6NyI-v15wht54FBPf_M1PAetFi4fXh"/>
        <s v="https://drive.google.com/open?id=1bDj5jzIXIUGBhdO4dxbm9EzKahyN_GQa"/>
        <s v="https://drive.google.com/open?id=155Sp3-jfOpjaLkxXVgwGUq7eUILndwRg"/>
        <s v="https://drive.google.com/open?id=1BY7zDDRzZaFKa8p833q1KSXZuJ6M2gQr"/>
        <s v="https://drive.google.com/open?id=1uDz2FE_7TnRQKrU9HIaQb9EkPKdbp94-"/>
        <s v="https://drive.google.com/open?id=1Z4RqPVy-nb4SNy1uqprmT_WWnuisOdU1"/>
        <s v="https://drive.google.com/open?id=1iHYCXbEtYY2QodH-x8YvsWho6n9q8wmC"/>
        <s v="https://drive.google.com/open?id=19v6FdaAKls-BNwShi0QUqFq9jcDyfxth"/>
        <s v="https://drive.google.com/open?id=12Gpw3mfQcbeNVCWD2qEwpaMIayqCBBIF"/>
        <s v="https://drive.google.com/open?id=144pM4GkTs9NQqNH2357YsL2wqRy1FqBF"/>
        <s v="https://drive.google.com/open?id=1O_z7R3X1EctY6i73dZAHQ7ICDlSdmn7J"/>
        <s v="https://drive.google.com/open?id=1YEa1E6PqX7Jyc_6YFzRpgc4r7jqOIeug"/>
        <s v="https://drive.google.com/open?id=1a7UO6DVFNJBezFaUMoste2uFgWf8u6u6"/>
        <s v="https://drive.google.com/open?id=15QLcCsWitpajjCNXGu2N9G0CKBu-PA70"/>
        <s v="https://drive.google.com/open?id=182I2F8Kke8OJ2I543LQvMpEU8aFKrMLU"/>
        <s v="https://drive.google.com/open?id=1mEoVkjUpUGm7AXRtQjlbhm0vp4uzpwPS"/>
        <s v="https://drive.google.com/open?id=16PuCm7Q0aRkNGOetnf-raBRLjtjp3w5t"/>
        <s v="https://drive.google.com/open?id=1Iyn08Kr3yIY_lLcYqgF8jrYUDZyTC5ef"/>
        <s v="https://drive.google.com/open?id=1c_iltrkOaEklexQdlFLK157jY4UOYH3k"/>
        <s v="https://drive.google.com/open?id=1dzndpsuhbtp5tSLsUB9byuOPAiGkjwIB"/>
        <s v="https://drive.google.com/open?id=1IVuT5YVkyJ7EZ9VCO59vJZcapKvpoRIC"/>
        <s v="https://drive.google.com/open?id=1HzozJ3NRQMLhPoDb1C-jHlV7RXPN52Zv"/>
        <s v="https://drive.google.com/open?id=1RyIrgLKTSH3LsSVqrFX72WDeuyNGSC4i"/>
        <s v="https://drive.google.com/open?id=12xbIFlZG5MSkefK3QY2lnZd-3xnEUmJv"/>
        <s v="https://drive.google.com/open?id=1JNVOmLBXpSj_O98Z2kXY123bQ90C1KKh"/>
        <s v="https://drive.google.com/open?id=1CTqLwnlJRCtcXw78m_KRvDZomAxsrIBX"/>
        <s v="https://drive.google.com/open?id=1svJoAOO0_NJAgOkRLr-F2tlyNI2038dN"/>
        <s v="https://drive.google.com/open?id=1ypWaYnuQ63JoXroymQkcZU0lkRS5Lbwn"/>
        <s v="https://drive.google.com/open?id=1zipv_16coacbZQfK5yYNFtFmarxzVRuN"/>
        <s v="https://drive.google.com/open?id=1HmnApx6jfk971E2d4gmzvlT4UgllMlHM"/>
        <s v="https://drive.google.com/open?id=1ywqAUxv5J8VpUlazwAk1qrgarn1PHh_G"/>
        <s v="https://drive.google.com/open?id=10RaWJXHDX2k0kswA9zCialP8fBiWYl8e"/>
        <s v="https://drive.google.com/open?id=1U-RilbaoxoEMScV_UUXFSEc-DotbIk0r"/>
        <s v="https://drive.google.com/open?id=1027pxdYu_2ysMhidvAjdPuIKdnoalYgU"/>
        <s v="https://drive.google.com/open?id=1B92L4vQvq77s4bnJQ2_Retgf3PKoHPxB"/>
        <s v="https://drive.google.com/open?id=1F_uGfmATZCQWJDUJfMJgNIo-a6ip510l"/>
        <s v="https://drive.google.com/open?id=1gSYCjM_BmfEgEtPkBXczNvTyWNOzZUhc"/>
        <s v="https://drive.google.com/open?id=1DcmjoNPC1XX2eMkAvvswQi0Hk3Hq-FrB"/>
        <s v="https://drive.google.com/open?id=1P_GX0IEnObf0lRGSvgzbBbIj0vklxk3_"/>
        <s v="https://drive.google.com/open?id=1yXTkAdrU7cQwbfc2W60hugmOodP1qKu_"/>
        <s v="https://drive.google.com/open?id=18rH3ZqFRqq7bbs2Pg0u8ThKuHg7Niw3O"/>
        <s v="https://drive.google.com/open?id=1Tlx-7-SJubtfdaA2vqsEbfJ1bVuyARUc"/>
        <s v="https://drive.google.com/open?id=1Fi7TShYIe4UbV_VmSqiU1MOIBrIKsLOD"/>
        <s v="https://drive.google.com/open?id=1sObW_7IZL2uMYv3T8KTWxruZKifk6_vD"/>
        <s v="https://drive.google.com/open?id=1Tpt5hHBMbo4bDKMUgJmuJn1OKJXx2X-D"/>
        <s v="https://drive.google.com/open?id=1FGGSKhxrOc5jxJO2SHFuE7xwHF7oWYMb"/>
        <s v="https://drive.google.com/open?id=19jaYgS2oJwOww8wj5SJmiPFiHmsf2_PT"/>
        <s v="https://drive.google.com/open?id=1G-Q4BAsFhHF-Axx76vIbbNuHrt8B0H8a"/>
        <s v="https://drive.google.com/open?id=1WUP_yo6WBbFmgblHrUjGq36OJsWAsVw4"/>
        <s v="https://drive.google.com/open?id=1Rni5VYg1lhaDuBgqLP2IviY1XUut86tv"/>
        <s v="https://drive.google.com/open?id=14BIKxE-yJDCb9PoZ2hGundJ5aZLjJEnF"/>
        <s v="https://drive.google.com/open?id=1WTj_193KNm4Kc8qEVSJv1dERlCS3OcAC"/>
        <s v="https://drive.google.com/open?id=1diSkX5pxRgSZE712ZD-0G8a4VESPjd6a"/>
        <s v="https://drive.google.com/open?id=1T01dB_Qa6_K4fAkRnhp7OxCaWKQYQ_y5"/>
        <s v="https://drive.google.com/open?id=1j-QWnt6xItaqPUpQyyDHyvh--4-LrcYy"/>
        <s v="https://drive.google.com/open?id=1wWRn7uHY7VEd6xX_m8ppqTX1hmXLMswN"/>
        <s v="https://drive.google.com/open?id=1TitWLm1TwrJ45hee_GKZL3HC02hls_7O"/>
        <s v="https://drive.google.com/open?id=1w7m5o_pnjHwzIWu66yfCpELwI4ZGYimC"/>
        <s v="https://drive.google.com/open?id=13_MBfthx0XbQDBGTYBMmHSco9OCIj8CP"/>
        <s v="https://drive.google.com/open?id=1CchLn6B1f2MiH49dM-Lcmwz2rQoB8onC"/>
        <s v="https://drive.google.com/open?id=1Ac8OBtS-9yizxy3oJOUwYguiYAIXQqfx"/>
        <s v="https://drive.google.com/open?id=1Wj1lZHrt73zLV-SWlgkDTWvePonGTLqH"/>
        <s v="https://drive.google.com/open?id=1uFqSUcDCLOh5-oi67hRwmVVxN5XZ7mRO"/>
        <s v="https://drive.google.com/open?id=1nqX63gEGAxiWdVP8nI_fckGWUdIGSdnZ"/>
        <s v="https://drive.google.com/open?id=1f3KZf25_8PZxkVAtnnoSyqEOcm9Ochn8"/>
        <s v="https://drive.google.com/open?id=1TAbKJOjkPrh_vxNpZ-_7cSTNIMT4SWTK"/>
        <s v="https://drive.google.com/open?id=1cmcnlxBmtxENY3V-yBDI1v--ZV40VrmL"/>
        <s v="https://drive.google.com/open?id=1MGuRZ2csLXYh4pVdtU7DL6GmXJNOJcYm"/>
        <s v="https://drive.google.com/open?id=1SAaDbBV2DepEeFtmvhgHFzQpKoGux3T-"/>
        <s v="https://drive.google.com/open?id=1zcHwzMPJYbga1BCJk72a9Vr9P_WWULIy"/>
        <s v="https://drive.google.com/open?id=14nVOaG8Wf-Mdhlz_c6PIVJv0GCdI8ZF8"/>
        <s v="https://drive.google.com/open?id=1OcFUj9Tp8FpCOpyJ7XyVE7l09rpE2bO_"/>
        <s v="https://drive.google.com/open?id=1VgQe239OPHHWTwd9j5-FeMpQKn-gSOAV"/>
        <s v="https://drive.google.com/open?id=1C8O-MquPofYw2X8mLt4D8XAC35GJUzT7"/>
        <s v="https://drive.google.com/open?id=1c73j7W5SUff25lbIaS5XdKv9_hs8JLAd"/>
        <s v="https://drive.google.com/open?id=1rby0zQi2AsrE1FaiNjWMqcTS4hd3KgOZ"/>
        <s v="https://drive.google.com/open?id=1_axh8RdMSCe4MHIKmawedmfAEDmVT10I"/>
        <s v="https://drive.google.com/open?id=1QzxDtEjxXaSompp91QEVg08XGVYH79IJ"/>
        <s v="https://drive.google.com/open?id=1HLkPR2GYp5jEf6uTDp8Fkh4gHjKMaWT4"/>
        <s v="https://drive.google.com/open?id=1yznyY8L_XC3r2pVJSMshMEaZKMjrqqJd"/>
        <s v="https://drive.google.com/open?id=1g-1ulI3eSrZVAlOBCC1yU0AHoHADtEzd"/>
        <s v="https://drive.google.com/open?id=1RxTJcH_Bc7CD6czVbMh0RtPZcLPHK8fa"/>
        <s v="https://drive.google.com/open?id=1-DJ-ZaTVXQkhr5gtLADrpXNz7v0CGORS"/>
        <s v="https://drive.google.com/open?id=1hDxp0ul9c3PybLChqBfcKex4Zfr9D1CL"/>
        <s v="https://drive.google.com/open?id=1ONifGI4VD0UYp60BusXzfW55_MFlYyEQ"/>
        <s v="https://drive.google.com/open?id=1ORhzFGDtTNYRUAvj8L6McGs6R80FtwT5"/>
        <s v="https://drive.google.com/open?id=1Ot-bfhFAofGtKoB81UcBtQi5AARs3qMz"/>
        <s v="https://drive.google.com/open?id=1Ov3HKYjW7VPTseA2FQMZzdY2e7WLN2sH"/>
        <s v="https://drive.google.com/open?id=1CnVrIsN2KEEO_S9GnywP0xLP4aTaEa9q"/>
        <s v="https://drive.google.com/open?id=1y6ZTDZslf5pTKKI6RFBx-WW-59Uidvqy"/>
        <s v="https://drive.google.com/open?id=16_Eh7qHQOb5jbZEZ1_NWoY6Ti5Tyyr8c"/>
        <s v="https://drive.google.com/open?id=1StgZ6fk7Jau3-NSBMEWGIOkK_nLXEIOd"/>
        <s v="https://drive.google.com/open?id=1mb5tMreNbFG_LAz5lYQ1LLckWuxkClhx"/>
        <s v="https://drive.google.com/open?id=1fw_RBuTSP5dgCxouqoefolt5akOG72lh"/>
        <s v="https://drive.google.com/open?id=163AI-pl8wT4lMqQMK7RZhgRdIn-ibIhj"/>
        <s v="https://drive.google.com/open?id=1MeFDWqg4u4Du8PHLDrpNAJnx6HTZ202s"/>
        <s v="https://drive.google.com/open?id=11wFOEjuDb6n8NI4eX_q4n-wLWEQTYno1"/>
        <s v="https://drive.google.com/open?id=1MNFCLrLwp-UWbFJEysrBUzQmYt8__2Tl"/>
        <s v="https://drive.google.com/open?id=1hWBXiXWmdLsYMYVBjqVTGG0Ygq-ei2wB"/>
        <s v="https://drive.google.com/open?id=1OPxMeXoOQ26JKHQlFGHYzFgPgRfchvUs"/>
        <s v="https://drive.google.com/open?id=1dWv_s9hWsTjKOIsU24MjgudG6riF0w_K"/>
        <s v="https://drive.google.com/open?id=1SkqhVpGvve4yjmeBkWVI0RcdF4s6OLvQ"/>
        <s v="https://drive.google.com/open?id=1lRwtKvPQX3cfYlhGnB3hHfW4ELFStGdy"/>
        <s v="https://drive.google.com/open?id=18eLc4UR057W5ABdk5HJAQaHeI1ZcwuqX"/>
        <s v="https://drive.google.com/open?id=1lSTFr3zUdZGhWBgfJC_lnSHzFcVmXZbP"/>
        <s v="https://drive.google.com/open?id=1Zx7pUsLYJ2VF7tvMlg8HK6ddXxoi7kYO"/>
        <s v="https://drive.google.com/open?id=15V0nrPjy7rpQhfV1rjiOQCECiu-aPBuD"/>
        <s v="https://drive.google.com/open?id=197lb0VorMojZ09FpveSiLgWqI713a1_b"/>
        <s v="https://drive.google.com/open?id=1k1NjXQwyThnkXMAWAdUeOHARG3GmABTm"/>
        <s v="https://drive.google.com/open?id=1-_XLkJn3va2s7Sm4FpLEqzMBCZlSyTPv"/>
        <s v="https://drive.google.com/open?id=1dAnCVZ50dpWn3GDat0KlHpGzfRwsB-n5"/>
        <s v="https://drive.google.com/open?id=1-CpygJqzSXtKIPswkZBz0XOhYFrJal4r"/>
        <s v="https://drive.google.com/open?id=1y-AQzT3tAIsBuQldHDEJKQYqTLuY2XM6"/>
        <s v="https://drive.google.com/open?id=1VA0-ufVy4ocKpkmFpUGPvdhUKqgaJ5FC"/>
        <s v="https://drive.google.com/open?id=1734qkASzAXnmBnVw5QwEgNPnbqAXgrle"/>
        <s v="https://drive.google.com/open?id=1A8nU_MBSkasSlGJGiyE34DhJ9pRa8XTp"/>
        <s v="https://drive.google.com/open?id=1Af3FaUrIr5twGF65XyP9gRInPnhCuyZW"/>
        <s v="https://drive.google.com/open?id=1-Yd4hNnL08jUDbd6UV30KU671kRtCl84"/>
        <s v="https://drive.google.com/open?id=1GOsIABi-C59pZIxmPJJR8qRDO5uBeB5X"/>
        <s v="https://drive.google.com/open?id=1lL85nVhMYLhIgKtxtUYfkunjC4-oI2AV"/>
        <s v="https://drive.google.com/open?id=1dUKVO73oTaG8HCfpcs02MYzRYUM-NsZD"/>
        <s v="https://drive.google.com/open?id=1zE6FWud1IW9_iMbx7hBFoNj1PlXhmxIM"/>
        <s v="https://drive.google.com/open?id=1uWoUBFA9EN5ZFeGo4iQVWPIy0FXhPQZ6"/>
        <s v="https://drive.google.com/open?id=1kJli75UXir3-lHrsjm3H7xtfBWAyGQbc"/>
        <s v="https://drive.google.com/open?id=1ToHOS2OczGqn61_ZRl4qatL2205Lrwr_"/>
        <s v="https://drive.google.com/open?id=1BFYRW3IbDwH5kVD3V9rjQOmShw0f4tYv"/>
        <s v="https://drive.google.com/open?id=130Fv7yHovOv5GdZ5QwjIzRx6YxKat6bY"/>
        <s v="https://drive.google.com/open?id=1bMg7TeNKjZGKGbDVet6j66bbSVALAGaS"/>
        <s v="https://drive.google.com/open?id=1P-waVoCUtsRH10WCbsEQuuSdmeQa286Y"/>
        <s v="https://drive.google.com/open?id=1vOUXe8a8H-gTnlMIs2hencaVCLD5rq7n"/>
        <s v="https://drive.google.com/open?id=14Nil7C_48jvprgSz-uGReueLnh62CTjL"/>
        <s v="https://drive.google.com/open?id=1-_RSURHlOhLR5w0NLzFW_gNWLw8_J83l"/>
        <s v="https://drive.google.com/open?id=146OykjPRTVNufffRGooJHhrm0X01aBlo"/>
        <s v="https://drive.google.com/open?id=1qbccAb1fM95sgGRw_Th59baYdTWveasn"/>
        <s v="https://drive.google.com/open?id=1y0oQzl4HHNw8WdJj-KikAYc-RZTTNNhH"/>
        <s v="https://drive.google.com/open?id=1Hlim4AHyfk0H4BweyJmYEoXEMOIfcdWv"/>
        <s v="https://drive.google.com/open?id=1OsY2IIcH6ebGnkHjmaEuj4Zs1foaO2XH"/>
        <s v="https://drive.google.com/open?id=1gvg0A9_ZsVkLdHPnrgHgaW1V7eIGUC0S"/>
        <s v="https://drive.google.com/open?id=1SKKyXByZHZePpglPfouYHUGP63dQkUVf"/>
        <s v="https://drive.google.com/open?id=1kErfUkTie-OaKFCSCXWLoi7IL2LLj4ba"/>
        <s v="https://drive.google.com/open?id=1PK8Gkl5TEvcL_-h-FnyF1h_xp0cBsHmB"/>
        <s v="https://drive.google.com/open?id=181CSDkcbBEi5-qaIPfCWKxuGCw31ifm7"/>
        <s v="https://drive.google.com/open?id=1MS4o1FddG-xVrFW_4t21xWC_Zju6QkJk"/>
        <s v="https://drive.google.com/open?id=1T4OVKlFu52sDBYrXYXx0U9o9cdTOfL6E"/>
        <s v="https://drive.google.com/open?id=13tuV7uWfAl-43aw_uoYSFLALJMCOB5sh"/>
        <s v="https://drive.google.com/open?id=1RalRWxWagiSSii4YAHLGq9PlB6UpNb8E"/>
        <s v="https://drive.google.com/open?id=1fUk0ZnnriT3Rgog39ZXWWKRQSZVdac0_"/>
        <s v="https://drive.google.com/open?id=1U9aqtCx8JXVLrZFTsGNXpCYRC93Q6CaN"/>
        <s v="https://drive.google.com/open?id=1rHxtUQ6RlnhxEhoChyM0rpszwpPypBYp"/>
        <s v="https://drive.google.com/open?id=1oddKWmqV-XxzHPf7Qergzh36UjWLRW28"/>
        <s v="https://drive.google.com/open?id=1i0HgCuqncjtpVT-f2RSr-6jE1LEJkpYu"/>
        <s v="https://drive.google.com/open?id=1oIOUzU-6syELylsqkEmcThJ9uVPW2xQr"/>
        <s v="https://drive.google.com/open?id=14Jq2ukddK3cGk72kCGAv7BhHY8CzvEC2"/>
        <s v="https://drive.google.com/open?id=1T8B3PX2I_1uFEFppX7_wigptfbQUNP1M"/>
        <s v="https://drive.google.com/open?id=1iaSPDo6gFNYMw1FJbtLOYelTnKCyYS90"/>
        <s v="https://drive.google.com/open?id=13jLdGAYBOtmZkKdfrUqUg7LJwQLsDCy4"/>
        <s v="https://drive.google.com/open?id=1IdfEuXR_BGa_v0YOekh2SHz35kVIspCh"/>
        <s v="https://drive.google.com/open?id=1gawbcId7aHU3dheGaZeIKWvNhwDWFiiv"/>
        <s v="https://drive.google.com/open?id=1ejIyRa-1hm0w1MhF8OTIeJrruwTQwKRb"/>
        <s v="https://drive.google.com/open?id=1YMvl7EzkeF8efpMl_mgQTm94yYys7FUQ"/>
        <s v="https://drive.google.com/open?id=1bWvnuFb7rCCiGqzGIRo4KbxKvKaTgi4L"/>
        <s v="https://drive.google.com/open?id=1lq4Um9D2ZbDV-l5kQeoSw0L3IKBg8AvN"/>
        <s v="https://drive.google.com/open?id=1pxJ_dD9vDXHgRmMoq98tHC4Lrz67pm_W"/>
        <s v="https://drive.google.com/open?id=1V03LuSYahcwbj-Rs7bZ5nxH0bnMu-Hn_"/>
        <s v="https://drive.google.com/open?id=1jcsrDaO9pOgBupjyYtTkgvmot20sBv9k"/>
        <s v="https://drive.google.com/open?id=1guT1Wc5b1mOzZGcReU_wjIfd7WoCQjhi"/>
        <s v="https://drive.google.com/open?id=19qhGICiUhbb4OPyb2i0zl16AEiWisNNQ"/>
        <s v="https://drive.google.com/open?id=1QfVRJg-olDmbGAy4RnB86qJancOIvJYR"/>
        <s v="https://drive.google.com/open?id=1Q-xT4BeUCRBvWlCbw-s8IGm1CjF9bMnt"/>
        <s v="https://drive.google.com/open?id=13x1hHPkq-6K3y3vMbKPdY0vpbzi0wuzW"/>
        <s v="https://drive.google.com/open?id=1Df56W6QbbgXFzELL9f9MDpRqp3yIHRwX"/>
        <s v="https://drive.google.com/open?id=181LgwMZHVej-nNWqmjOihidOoQAuzv-z"/>
        <s v="https://drive.google.com/open?id=1hyWDMwv2qkU_10P7KfPiYemHzldEB6pQ"/>
        <s v="https://drive.google.com/open?id=1NJmmncrVhspXwZLPwZ7L24HwQeCuaET9"/>
        <s v="https://drive.google.com/open?id=1hrUlzrr3ORaZSdvqqXNuIT4x9PPu2o9H"/>
        <s v="https://drive.google.com/open?id=1f22XnVutMlM0cnWwUPGuG0H3g_eG4sEI"/>
        <s v="https://drive.google.com/open?id=1WPRHnZl_jCvx2YPIzOJARMBXd4si6Fdt"/>
        <s v="https://drive.google.com/open?id=1ThBDg7pbtv-W49-dEPwD9VqOY2RYoRbw"/>
        <s v="https://drive.google.com/open?id=1eoHtSFZL4gBWsvE0G2RG5pnN2uahJNfO"/>
        <s v="https://drive.google.com/open?id=1SjwOC27n4tm_bUBirrtfcqk0NblEPXGW"/>
        <s v="https://drive.google.com/open?id=1zOgSpeicH2uQwvIhtmqJAcInIOfQbsv6"/>
        <s v="https://drive.google.com/open?id=1kom67Xwbf2r6202ybwZTwIlGoUL91yQs"/>
        <s v="https://drive.google.com/open?id=1EVv6uzjo0ezClIA4aA3PV-LoIAoCOVZ8"/>
        <s v="https://drive.google.com/open?id=1Ph-oo-coyaY_hYOUiMFDW8djkHvXzAry"/>
        <s v="https://drive.google.com/open?id=1buEtT4Jp7cjF_VxrXWi5JXImu_DwdfAu"/>
        <s v="https://drive.google.com/open?id=1naho07n4YwjTDR-mkHpddXvK_bqXdOsj"/>
        <s v="https://drive.google.com/open?id=1-QrJvDlJLWqY0ybh41stboWYN1-pvKCc"/>
        <s v="https://drive.google.com/open?id=1B8k_sFoQ-Ss-4OzAQlmKAY7Zn8lrZYgt"/>
        <s v="https://drive.google.com/open?id=1I2gRQuBTLLTdHqD3h2oiAFS7rqBRD0bh"/>
        <s v="https://drive.google.com/open?id=1piHt-vZxglM23gJ8XAybZ1OoIjQF8IZO"/>
        <s v="https://drive.google.com/open?id=1WY9J622QM20_YDPJbDuJbU48GyOT45SL"/>
        <s v="https://drive.google.com/open?id=16Lqj6Qps8qoTqzz5FrqoibzObh3qGJOh"/>
        <s v="https://drive.google.com/open?id=19EyudNkvCkHwmABxi5spE9V7lMT40ZNf"/>
        <s v="https://drive.google.com/open?id=1XehGREVNtETt2_ODnEWA-e8Wa8CJTWx9"/>
        <s v="https://drive.google.com/open?id=1CQYc1OedGfnT5x4m7H5Lps1jh5JphR_h"/>
        <s v="https://drive.google.com/open?id=1XUhrOQUh7kdjQDxGbRZqbUUTY4lXxb2Y"/>
        <s v="https://drive.google.com/open?id=1HuQUNu69B6JjHnLrt3MP2lTrccUzgrWp"/>
        <s v="https://drive.google.com/open?id=1nYUX7s_yd6rUEZXNHrKJgnLeLE01DYBH"/>
        <s v="https://drive.google.com/open?id=1wusv8NKuj9CB-B74jFpjrOYdVugCdpbe"/>
        <s v="https://drive.google.com/open?id=17ekErsyprbM6xpwJquvgmuOnpBRTY8rl"/>
        <s v="https://drive.google.com/open?id=1TDo_991P5JPq44bteuZKzEMfdcPbLz_l"/>
        <s v="https://drive.google.com/open?id=1JxBcdNq1biAP-d-IPJbleakRhfWyNz7n"/>
        <s v="https://drive.google.com/open?id=1kiTAeG9BajMmRTp2MMdh6q9LcWAyisLa"/>
        <s v="https://drive.google.com/open?id=1rqFeNTVmNhl3YfoIsyaWlbOSJE7t9PB4"/>
        <s v="https://drive.google.com/open?id=1PyEl-b1seNJ22KGKLfm8vYa6xLFNbRNt"/>
        <s v="https://drive.google.com/open?id=1F3FK8xIsgeMNGlyI82rWOy-dVa5Th6T5"/>
        <s v="https://drive.google.com/open?id=1eEwSOvWoah9nbaCBpGwbKSexCA9k8KIj"/>
        <s v="https://drive.google.com/open?id=117OQkNZTS6w4_fyGm9zxWNRIzeCXhBXP"/>
        <s v="https://drive.google.com/open?id=1U3lg4f6Rb2PtLMunSdaWQdgT8fJwRujX"/>
        <s v="https://drive.google.com/open?id=1uAB029dnUy-6ixOsbOh08GM68CH14bzG"/>
        <s v="https://drive.google.com/open?id=1pVTaKtfSeP3drNWSH9LEYBR-tbbUSrjK"/>
        <s v="https://drive.google.com/open?id=1UXRAXvZbPolLQmVGW-Cd25WHAwfDo9Qv"/>
        <s v="https://drive.google.com/open?id=1ZYiq2UGb8-BQHNMUSFVh6nZiuKFcPwX-"/>
        <s v="https://drive.google.com/open?id=159fA0fzlUzfKmAc0avX9EJQI7Fk8xXN6"/>
        <s v="https://drive.google.com/open?id=1-Wo7Wl0F7Z3yu8BqfNriIG_1r_bOlxZ0"/>
        <s v="https://drive.google.com/open?id=1A9JKbhxOlVmaxnb5zlJORzwrB2Xm7TSr"/>
        <s v="https://drive.google.com/open?id=1xVfNmLQpdkP718PM3Nny4uC0eLejAhxv"/>
        <s v="https://drive.google.com/open?id=1P11JwPmPvY7T1b_UMQWxK1NMNlHd-Uxs"/>
        <s v="https://drive.google.com/open?id=1qG8udWLa9BapK810BvF7qpRhsOy9lCqT"/>
        <s v="https://drive.google.com/open?id=1UZOWID1akFNlcrBKuE1ueyonr-ze3Obr"/>
        <s v="https://drive.google.com/open?id=1p9krsrcS_ayDR1hcuVp9auGVz0tCLoRk"/>
        <s v="https://drive.google.com/open?id=10jhcHOse42U2LsIH2t9MtssAWSTRPQRA"/>
        <s v="https://drive.google.com/open?id=1PLjiPj1_ZQT8o34i5OE-UNKlsaQjw061"/>
        <s v="https://drive.google.com/open?id=1HJfB5wpk4D62XQDVh9XRjP6NJJkRH3P9"/>
        <s v="https://drive.google.com/open?id=1eEK0l5Q1_yrqT8ycJJ1QiWt7X8sLSQG_"/>
        <s v="https://drive.google.com/open?id=1-pNzls2VbWGKjjrszCSaWXaFypBHzFB_"/>
        <s v="https://drive.google.com/open?id=1GFFgmEJ_sxG9rwRhZU5eP8B3-STsvVrp"/>
        <s v="https://drive.google.com/open?id=1Yqj3vdLNrUCzoBTFh5TD_NR0v6DdyVbJ"/>
        <s v="https://drive.google.com/open?id=1qP2Wcbwr0rRF8cv9a_8ZHF4ekZ89cpuK"/>
        <s v="https://drive.google.com/open?id=1PpTe3DnfHou84p7b-4dEdqSASmNj2xS9"/>
        <s v="https://drive.google.com/open?id=1MzxFvY76zifsvMwC34foLp4TB5eCqHF2"/>
        <s v="https://drive.google.com/open?id=1R5W8Z2EDUa6lYiqnz0rwwgtkCCnNSOZ_"/>
        <s v="https://drive.google.com/open?id=1P1dO9ZBBXWd5R5N-FipyS4IdlfHf_ouO"/>
        <s v="https://drive.google.com/open?id=1-ThJLVrEd83eeDgCXfPuR3PG9LAUiN_C"/>
        <s v="https://drive.google.com/open?id=1JngMajvMrifOyMjcSfjk-zJwv-bCfy5g"/>
        <s v="https://drive.google.com/open?id=1b2uUxil7yUAG8cqOZNVLZmYSiNTQ7wAB"/>
        <s v="https://drive.google.com/open?id=1IcpttItQSZv9ilrCnLoK9M5sARuLf5MZ"/>
        <s v="https://drive.google.com/open?id=1GV4TgK74qUQkkYEGCAoIEqTorSCg9oAI"/>
        <s v="https://drive.google.com/open?id=133QY32fjvAMhxyz5TCQP0cFyUgGdCIGO"/>
        <s v="https://drive.google.com/open?id=1WnvftjdRWVrH8Sq2jfg765DilpNJGFby"/>
        <s v="https://drive.google.com/open?id=1yq96fGrVyvtsixKCC3Fm47hqP4pe0xtU"/>
        <s v="https://drive.google.com/open?id=1AqTl9FycASY9e4bWrjQUot1Q-xX3h4SA"/>
        <s v="https://drive.google.com/open?id=1Fi0el87XVroWE3r5Om9CnT81xTuLAy6h"/>
        <s v="https://drive.google.com/open?id=1B0dINa-531OIWRROR1zecRLC54E8qklj"/>
        <s v="https://drive.google.com/open?id=15b97UjlHI96f71KsMaEaxfLU4JYj3VBp"/>
        <s v="https://drive.google.com/open?id=1c0fTvqx4vuURMt_GMFUKuEyI5gacxw4t"/>
        <s v="https://drive.google.com/open?id=16MwCYFoAGYBQDYyHOfp-Rnn3ZzGsyvw2"/>
        <s v="https://drive.google.com/open?id=1JL69Pw-vsuwp1sjnEVcPrCffqRnPDdVj"/>
        <s v="https://drive.google.com/open?id=1TLIdP7j0p7z_kHCnMcHOjXzOhD0xalHN"/>
        <s v="https://drive.google.com/open?id=1hCMqUQprD2jOwz8bXA0B3I5W33Ih8L3S"/>
        <s v="https://drive.google.com/open?id=1LuHBNkb321PRocjYvuP3CZPsLZGKSXxN"/>
        <s v="https://drive.google.com/open?id=1L5MKpd8tmxFSmJ9eA6Zi1qSsAlGFcNw1"/>
        <s v="https://drive.google.com/open?id=1hjyXiRBQMArwqD11EX8-XrQi63KeoaA7"/>
        <s v="https://drive.google.com/open?id=1KnO7feiU2JIqalE80SBl96dA7lt7kRbX"/>
        <s v="https://drive.google.com/open?id=1Ba2kvmJlegrS1N1cbFdk1u8K7_8m2Mmv"/>
        <s v="https://drive.google.com/open?id=1LLN104CeO35TMc5xxa7CJB7otKmdM4L4"/>
        <s v="https://drive.google.com/open?id=1ixUkqGidtXGe6ZIIbm3CQ6i_NcJGLCwv"/>
        <s v="https://drive.google.com/open?id=12leE_PN9gVfNyClP_PfcC0MFDSpgD5_q"/>
        <s v="https://drive.google.com/open?id=1VKdyYRBjaW9KSIyruzesTCm7UIInDFyb"/>
        <s v="https://drive.google.com/open?id=1uXUcnKHePY7515h730qKnkvaE_2AXV3E"/>
        <s v="https://drive.google.com/open?id=1NEb9g0F9jH6oYju2igOFo0XeQkzNVZfh"/>
        <s v="https://drive.google.com/open?id=14AoaoChDXe4nXx64GFJOJXI7bBcv6Dby"/>
        <s v="https://drive.google.com/open?id=1SvwR5ItZHGJGhfRS2cvkroAhqjyKbBH6"/>
        <s v="https://drive.google.com/open?id=1DxOEtDFAwkkUg3w6kUMG8qAqQn6wzSiH"/>
        <s v="https://drive.google.com/open?id=1MF4vd-m7x7E7O_uIWCQ0a5srTP0C-rrT"/>
        <s v="https://drive.google.com/open?id=1CS5d1fV0LRIqCjGRXTAH4FR6VZZk-E7v"/>
        <s v="https://drive.google.com/open?id=1EAWE-5hK0X9WXlETW_E-RRROuvEE4tN4"/>
        <s v="https://drive.google.com/open?id=1ByuNQNQe5JLmKpSLo8rJSurkTTp9C6l_"/>
        <s v="https://drive.google.com/open?id=1wbrVAGwvnHkVfozdvs_weUtRHvVPe7tq"/>
        <s v="https://drive.google.com/open?id=155jRo3ix1QB8xHeb985Zx2r8NlhnwXFA"/>
        <s v="https://drive.google.com/open?id=1VBU5YMjp3kMfhqyqamOPHXk7Eyg0GMsz"/>
        <s v="https://drive.google.com/open?id=1ZKNIVF3Wuzkci9LieeOJeFoHEhW2aSTA"/>
        <s v="https://drive.google.com/open?id=1DwygsyXjqcvJGSuu3Ml3axRc3dbWdWpT"/>
        <s v="https://drive.google.com/open?id=1bogkvAf4FIj-145wrgxcjieM-fiNCzn5"/>
        <s v="https://drive.google.com/open?id=1yWkbTUSqTtxEu9c0xtl8xPIgXvVRIQs4"/>
        <s v="https://drive.google.com/open?id=19FPLSKJ-1cDbWliLjoZSJ03V58x694G9"/>
        <s v="https://drive.google.com/open?id=1LBVM7FSkeOvvcVlOmaYt0myCbd5nGKRT"/>
        <s v="https://drive.google.com/open?id=1rtPdwYXQs1lO5TZoSezX0-AsLWs_XrD7"/>
        <s v="https://drive.google.com/open?id=11Jq2hlyShHrAhImX1y8bFpuVdd2HFPdf"/>
        <s v="https://drive.google.com/open?id=1wh5pdmLjckDVIBEg-qJCjUrXaxy3Y55S"/>
        <s v="https://drive.google.com/open?id=1kULodtgZf9v1jXL3a6gMxBL0a_qOhiMi"/>
        <s v="https://drive.google.com/open?id=166aoOsYEl30ukdI8J7Md2mbAs3Ka0V1Y"/>
        <s v="https://drive.google.com/open?id=1hL8hDWHWTzA3gRcAUP3-ABtLtCO9PZyV"/>
        <s v="https://drive.google.com/open?id=1U8N6SqPURI5Q0rI3urEE9yQ9jAOZpQXR"/>
        <s v="https://drive.google.com/open?id=1i4ONuu_MOkdUVgaCSzVO8N8URdbCMFLZ"/>
        <s v="https://drive.google.com/open?id=1rj7Z23xk2kzuzKcv85XGZt0I7wigF3Pw"/>
        <s v="Bukti Foto Penjualan"/>
        <s v="https://drive.google.com/open?id=1Zf154JzyIsnKcCjoaiMDj6smMORMmE11"/>
        <s v="https://drive.google.com/open?id=1xuZtx1naQDp3wkPPgrUNQgafjg-sKTs3"/>
        <s v="https://drive.google.com/open?id=1s5A23fhoQXag_Np41E0Sn_AmwtiAOI99"/>
      </sharedItems>
    </cacheField>
    <cacheField name="List No. HP yang terjual">
      <sharedItems containsMixedTypes="1" containsNumber="1" containsInteger="1">
        <s v="089684210008"/>
        <s v="085801200180"/>
        <n v="0.0"/>
        <s v="085732317400"/>
        <s v="085600627931"/>
        <s v="0895634210633"/>
        <s v="0895622995017"/>
        <s v="1.089673499234   2. 0895634252328"/>
        <s v="*0"/>
        <s v="089673499060"/>
        <s v="085738234995"/>
        <s v="085706883379, 085738234990"/>
        <s v="085706780196"/>
        <s v="0895622989306"/>
        <s v="089671862745 , 0895622989339"/>
        <s v="0895622998057"/>
        <s v="089671862742, 0895622989305, 0895622989319"/>
        <s v="085601242892, 085601243893, 085601242898"/>
        <s v="-"/>
        <s v="085641119022, 085641118997"/>
        <s v="085641118994, 089682005144, 085641118952"/>
        <s v="085641118993, 085641118894"/>
        <s v="085641118942"/>
        <s v="085737017953"/>
        <s v="085801199373, 085741322241"/>
        <s v="085801199358"/>
        <s v="085801199360, 0895634222436, 0895634222438, 0895634222435"/>
        <s v="085801199364, 085801199365"/>
        <s v="085877059579/085877059577"/>
        <n v="8.95703212129089E24"/>
        <s v="085806041608"/>
        <s v="089673062721, 089673062695"/>
        <s v="089673062712"/>
        <s v="089673062708"/>
        <s v="085742698339 , 085702836106"/>
        <s v="085857744497 (10Gb) , 085742698335 (10Gb)"/>
        <s v="085806040738"/>
        <s v="085742698368 , 085702836102 , 085806040733 , 085806040730 ,085806040731 , 085801200410 , 085801200411"/>
        <s v="085879056518"/>
        <s v="085879054875"/>
        <s v="0895635016222"/>
        <n v="8.95703212130089E24"/>
        <n v="8.95703212137089E24"/>
        <s v="085726877756"/>
        <s v="0895703212135"/>
        <s v="08572687760"/>
        <s v="085726888918.085731174382."/>
        <n v="8.57268777540857E22"/>
        <s v="089682619864"/>
        <s v="085738235261"/>
        <s v="6285706872455 , 6285706872474 , 6285706872475 , 6285706872473,6285706794482,6285706794483,6285706794481"/>
        <s v="085706808266 ,085706808279 085706808270 , 085706808275 ,085706808283 , 085706808284 , 085706808288, 085706808292 ,085706808303 "/>
        <s v="6285706808308 6285706808314 6285706808318 6285706808324 6285706808325 6285706808330 6285706808339 6285706808344 6285706808371 6285706808379 6285706808380"/>
        <s v="6285706808391 6285706808403 6285706808415 6285706808418 6285706808426 6285706808427 6285706808441 6285706808451 6285706808457 6285706808461"/>
        <s v="6285706808462 6285706808467 6285706808469 6285706808471 6285706808472 6285706808480 6285706808488 6285706808489 6285706808495 6285706808497"/>
        <s v="085726087226, 085726087220 , 085726087211"/>
        <s v="085726087388, 085726087180, 085726087235, 085726087278, 085726124987, 085725452171, 085726087243"/>
        <s v="085725452163 , 085726087236"/>
        <s v="085856047523 , 0895634211303"/>
        <n v="8.57261249780896E58"/>
        <n v="8.57254520780857E71"/>
        <n v="8.57254521030896E34"/>
        <s v="085741333561  ,085726088038 ,085726088037 ,085726088036 ,085741333277 ,085726087212 ,085726087565 ,085726087378 "/>
        <s v="085726087543,085725452152,085726124997,08526124988,085875037506,085726087156,  085726087602 , 085726087543"/>
        <s v="085875037546 , 085726087541 , 085741333426 "/>
        <s v="085726124944 , 085725452173 , 085726087540 , 085726124975 , 085725452169 , 085726087269 , 085726087161 , 085726124979 ,085743069118"/>
        <s v="0895634211303 , 085726124977 , 085725452091 , 085726087321 , 085726087375 , 0895634218793 , 0895634218794 , 085726088013"/>
        <n v="8.96814502030857E70"/>
        <s v="08587905625"/>
        <s v="085842036588"/>
        <s v="085842036586"/>
        <s v="085842015812/085842015815/085842015816"/>
        <s v="085842015986/085801224328"/>
        <s v="085842015934"/>
        <s v="081529282812/085879061493/085791173477"/>
        <s v="081529282811/089666835544/085801224278"/>
        <s v="0895635016220"/>
        <s v="0895635016234"/>
        <s v="085707752106 , 085707752144 "/>
        <s v="085707752103, 085707752119, 085707752116"/>
        <s v="085707751205, 085707751287"/>
        <s v="085707747321, 085707747270, 085707747339"/>
        <s v="085707747206,  085707747801"/>
        <s v="085707747739,  085707747208"/>
        <s v="085741170613"/>
        <n v="8.58012240890857E22"/>
        <n v="8.58124285870858E22"/>
        <s v="085812428774, 085812428775, 085812428764,085812428688, 085812428763,085812428705"/>
        <n v="8.56469134620856E46"/>
        <s v="085799969686‬,085646913455,085793330752‬"/>
        <s v="085812428671"/>
        <n v="8.58420155090858E22"/>
        <n v="8.58420158730858E154"/>
        <n v="8.58124286720858E22"/>
        <s v="1. 085601243485, 2. 085601243413"/>
        <s v="1. (085601243482) 2. (085707523278)"/>
        <s v="085641118248"/>
        <s v="085842036592"/>
        <s v="085842036576"/>
        <s v="085842036577"/>
        <s v="085842036539"/>
        <s v="085842036577  085712158704"/>
        <s v="085712160103 085712160128 085712233 085712233837085712233829 "/>
        <s v="085712233829 085712233837 085712233855 085712160128 085712160103"/>
        <s v="085842036539 085712159653"/>
        <s v="085712234506 085712235481"/>
        <s v="085643856478"/>
        <s v="085842015862"/>
        <s v="081529410757, 085801223458"/>
        <s v="081529436156, 081529436162"/>
        <s v="08542015576, 08584201408, 085842015645, 0895635043863, 085842015633, 085842015587"/>
        <n v="8.56029047500856E46"/>
        <s v="085799930302, 085738039337"/>
        <s v="085738039363, 085738039362, 085738039348 ,085738039347 "/>
        <s v="085738039335, 085738039334"/>
        <s v="085738039331 085738039338 085738039332 085738039341 085738039352 085738039329"/>
        <s v="085738039357 , 085738039355 , 085738039354,08573803942 ,085738047669"/>
        <s v="085738039344, 085738039328, 085738039336085738047671"/>
        <s v="085738039362, 085738047670, 085738047673, 085738047668"/>
        <s v="085738047717, 085738047718, 085738047713,085738047714"/>
        <s v="085738047715, 085738047716, 085712158768, 085712158757"/>
        <s v="085712235076, 085712159910, 085812235100, 085812235035,085812235097"/>
        <s v="085712158816, 085712234634"/>
        <s v="085712158784"/>
        <s v="085842015859"/>
        <s v="085741709397, 085741709395,085741709357,085741709358,085741709398"/>
        <n v="8.58420154950857E238"/>
        <n v="8.57429399760085E143"/>
        <n v="4.0"/>
        <n v="8.57911732500857E22"/>
        <s v="081529411995, 085812427885, 085812427768"/>
        <s v="085812428624, 085812428604, 085812428607 ,085812428601,085812428575, 085812428571,085812428583, 085812428572"/>
        <s v="085812428677, 085812428708, 085812428669, 085812428661, 085812428665, 085812427756, 085812427750, 085812428662"/>
        <s v="085812427762, 085812427764"/>
        <s v="085815427847"/>
        <s v="085842015925, 085842015501, 085842015496"/>
        <s v="085842015909, 085842015504, 085842015922, 085791173154, 085791173163, 085842015271, 085842015968, 085842015860, 085842015987, 085791173136, 085791173151, 085842015502, 085842015271, 085842015971"/>
        <s v="085812427841, 085812427842, 085812427847, 081529410669, 085842015847, 085842015866"/>
        <s v="085706808921"/>
        <s v="085726095293, 085726136810, 085726095294, 085857712223"/>
        <s v="085741588842, 085726136780, 085726885987"/>
        <s v="085738208594, 085875066393"/>
        <s v="085875066364"/>
        <s v="085726885984"/>
        <s v="085712158277"/>
        <s v="085712158468"/>
        <s v="085712255733"/>
        <s v="081515123965"/>
        <s v="085641119044"/>
        <s v="085641119042, 085641119045"/>
        <s v="085878086918, 085878086915"/>
        <s v="085878086915"/>
        <s v="085815608952"/>
        <s v="085726877729 - 085726877739 - 085726877737"/>
        <s v="0895703212128 - 089682743804 - 085726877727"/>
        <s v="0895703212128 - 085726877727 - 089682743804"/>
        <s v="085726877725 - 0895703212147 - 0895703212131"/>
        <s v="0895703212127 - 0895703212123 - 0895429631773 - 0895635163253 - 0895635163246 - 0895703212724 - 0895429631875"/>
        <s v="085726877728 - 085726875553 - 085726877731 - 085726875556 - 085726875558"/>
        <s v="085815608957 - 085700948653"/>
        <s v="085726877724 - 085726877734"/>
        <s v="085743602938 - 085726877738"/>
        <s v="089682619888"/>
        <s v="085726899957 - 085726900058 - 085726900050 - 085815609695"/>
        <s v="08526900057 - 085726899978 - 085726899986 - 085726900080 - 085726900069"/>
        <s v="085726899959 - 085726899979 - 085726900053"/>
        <s v="085726899981 - 085726900091 - 085726900019"/>
        <s v="085706800476"/>
        <s v="085706800480"/>
        <s v="0895629541838"/>
        <s v="085726955535, 085726955525, 085726955540, 085726955520"/>
        <s v="085726955515, 085726955505, 085726955538"/>
        <n v="8.95635163254089E63"/>
        <n v="8.57269555050857E46"/>
        <n v="8.57269555190857E58"/>
        <s v="085726955536, 085726955537"/>
        <n v="8.57269555320896E22"/>
        <n v="8.57269055580857E22"/>
        <s v="085726900079,089682619970, 089682619960"/>
        <s v="085728009454 085602898261 085602898260"/>
        <s v="085602899546 085602899545"/>
        <s v="085602899544 085602899539 085602899540"/>
        <s v="Lupa"/>
        <s v="0895623101378"/>
        <s v="0895622989311"/>
        <s v="0895622989317"/>
        <s v="085842036535"/>
        <s v="085842036534"/>
        <s v="085712159158, 085712159161, 085842036537, 085842036536"/>
        <s v="085785765575 085785765574 085785765573 085785765572 085785765571 085785765570 085785765569 085785765568 085785765565 085785765564 085785765563 085785765562 085785765561 085785765549 085785765548 085785765546 085785765545"/>
        <s v="085785767094 085785767095 085785767096 085785767097 085785767098 085785767099 085785767101 085785767102 085785767103 085785767104 085785767105 085785767106 085785767107 085785767109 085785767110 085785767112 085785767113 085785767115 085785767116 08578576"/>
        <s v="081515123944 / 08151515123946 / 081515123957 / 081515123956 "/>
        <s v="08515123951 / 085877060982"/>
        <s v="085877059595"/>
        <s v="084877059570 / 085877059571"/>
        <s v="085748881914"/>
        <s v="(085878086411) (085878086415)"/>
        <s v="(085601243412) (085748881931) (085601243409)"/>
        <s v="081515125568"/>
        <s v="081515125489"/>
        <s v="081515125468"/>
        <s v="(081515125517) (085748881917)"/>
        <s v="085738039309, 085738039308, 085738039300, 085738039299, "/>
        <s v="- 085738039320 - ⁠085738039316 - ⁠085738039297 - ⁠085738039298"/>
        <s v=" - 085738039313 - ⁠085738039312 - ⁠085738039314"/>
        <s v="085738039305 085738039301 085738039307 085738039304"/>
        <s v="085738039302 085738039324 085738039327 085738039317"/>
        <s v="085738047659 085738047658 085738047646 085738047650"/>
        <s v="085738047645 085738047647 085738047656  085738047649"/>
        <s v="085712158671 085738047649 085712158572 085738047661 "/>
        <s v="085712158547 085738047698 085712158178 085712158113 "/>
        <s v="085738047698 085738047651 085738047698"/>
        <s v="085738047703 085738047702 085738047704"/>
        <s v="085712235027 085712234871 085712234728 085712234735"/>
        <s v="085712234803 085738047706"/>
        <s v="085738047710 085738047707"/>
        <s v="085700543099"/>
        <n v="1.0"/>
        <s v="1.085701771704 2.085729359658 3.085701771629"/>
        <s v="1.085701771652 2.085857727776 3.0895634203866"/>
        <s v="085701771702"/>
        <s v="085701771802"/>
        <s v="085701771613"/>
        <s v="1.085701771687 2. 085701771607 3.085701771654 4.085701771693"/>
        <s v="1.085701771693 2. 085701771590"/>
        <s v="085726940576"/>
        <s v="1.085729359662 2.085701771627 3.085701771580"/>
        <s v="1. 085701771701 2.085701171635"/>
        <s v="1.085701771680 2.0895634203870 3.085701771709"/>
        <n v="8.58124274290896E58"/>
        <s v="085812427742, 085812428547, 085812428548, 085812428574, 085812428565, 085812428557,  085812428554, 085812428541, 085812428540"/>
        <s v="085812427780, 085812420626"/>
        <n v="8.58124227757085E59"/>
        <n v="8.58124277840858E46"/>
        <n v="8.58124277860858E34"/>
        <s v="085842015930, 6285801224329"/>
        <s v="085791173135, 085791173164,085842015961,085842015961,085791173172,085791173148,085791173122,085791173171,085842015974,085842015975,085842015979,085842015503,085842015805,085842015912,085842015808, 085842015806"/>
        <n v="8.15294023280858E35"/>
        <s v="08564913282"/>
        <s v="085791173599,085791173588,085791173161,085791173165, 085791173166,085842015361"/>
        <s v="085640075130, 089525608574, 089699089887, 0895423716868, 0895321446509, 089630640976, 089514775897"/>
        <s v="."/>
        <n v="8.57383218870857E22"/>
        <s v="085728001192"/>
        <s v="085728001175 0895629534057 0895629534058 "/>
        <s v="0895629558424  0895629558422"/>
        <s v="085842015464"/>
        <s v="089681998373"/>
        <s v="085707120432,081529282787 ,085791173871"/>
        <s v="089563252327 , 0895633844390, 089509396676"/>
        <s v="089682619822, 089682618955"/>
        <s v="089671862740, 089671862748"/>
        <s v="085875066391, 085726096382, 085643757173"/>
        <s v="089667165522"/>
        <s v="0895635071214 , 085806040734"/>
        <s v="List No. HP yang terjual"/>
        <s v="081918190352"/>
        <s v="078035180524"/>
        <s v="0895622995018"/>
        <s v="1.089673499234   2. 0895634252329"/>
        <s v="*1"/>
      </sharedItems>
    </cacheField>
    <cacheField name="List No. HP yang melakukan isi ulang">
      <sharedItems containsMixedTypes="1" containsNumber="1" containsInteger="1">
        <s v="085606633231"/>
        <s v="085859545417"/>
        <s v="1. 085733621125 2. 085749549485 3. 085645452029 4. 085773769634"/>
        <s v="1. 089504744464 2. 085536930726 3. 0895399488277"/>
        <s v="1. 085732317400 2. 085806042745 3. 08574177532 4. 089507312455"/>
        <s v="085755857899"/>
        <s v="08564515 4944 085791943323 0895 42 37 13578 0895639052073   085806555510  "/>
        <s v="0895411958998  0895402526994  085646539945  085741116861  0856 04427779  08563423235  087856955350 085649272163  085738677184  085730127697 085730127697 "/>
        <s v="085649720018 085707964322  087842221767 085743474651 087812271027 085852903096 08989894602 085854370752  085701754071 085707964322"/>
        <s v="089602333258 089602338594 085725110191"/>
        <s v="*0"/>
        <n v="0.0"/>
        <s v="089654354838"/>
        <s v="089696877803"/>
        <s v="0895422419006, 085748341045, 0857855665693, 085733190124, 085878074185, 085731146817, 085693599846"/>
        <s v="0895403802132, 085732743451, 085710645629, 085706707880, 085784280162, 085732743451"/>
        <s v="08976460818, 08983330546, 085732743457, 085875113418, 085649140765, 08970520811"/>
        <s v="085748341045"/>
        <s v="089672931460, 085732743451, 085743593774, 085732743451, 085852982780, 085692124364, 085647455172, 08970520811, 08976460818, 08976460818(2x)"/>
        <s v="0896363880119, 089678203326"/>
        <s v="089609263939, 0895403151465, 08988105485, 0895428845053, 081460401468, 0857-4027-5549, 0895346194409, 0896-5360-2383"/>
        <s v="0895400754428 , 0895-0194-3010 , 089521401942, 08988150557, 0895622190587, 0895414352305, 085815018400, 089693817430"/>
        <s v="089515479988, 089682579549, 085713033435, 0895422570874, 089688049896"/>
        <s v="081515835028"/>
        <s v="089514978481, 081515835028, 085853262146"/>
        <s v="-"/>
        <s v="085875411136"/>
        <s v="- "/>
        <s v="085737017953"/>
        <s v="085748587728"/>
        <s v="085817703765, 085755609086, 085856742001, "/>
        <s v="085784020541, 085649526465, 085814755538, 0895639170022"/>
        <s v="085791451547"/>
        <s v="085549080363, 081456141167"/>
        <s v="0854324567899"/>
        <s v="085855422614, 085706669426,08776555692,085607135937,058743068509,0895364719276"/>
        <s v="085733878622"/>
        <s v="085801198978"/>
        <s v="085600583738(38.000) , 085731040589(38.000) , 081515992162(41.000) , 085707639409(38.000) , 085713181564(82.000) , 08570177645742.000) , 08977228454(56.000) , 0895324757553(83.000) , 089524693590(38.000) , Voucher AON 33.0000"/>
        <s v="085746557067 - 24gb 62.000 , 085749020509 - 7gb 38.000 , 085792919026 - 16gb 52.000 , 085857265827 - 24gb 62.000 , Voucher 7gb 38.000 , Voucher 3 7gb 38.000 , Voucher 3 42gb 83.000 , 085869244657 (Pulsa 50rb)"/>
        <s v="085606657868 - 7gb 37.000 , 085810388726 - 10gb 41.000 , 085704009184 - 10gb 33.000 , Voucher 42gb 83.000 , 085600634718 -50gb 90.000 , Voucher 24gb 60.000"/>
        <s v="085607664310 - 7gb  38.000 , 085791238442 - 16gb  52.000 , 085607085012 - 30gb  72.000 , 085706157800 - 66gb  102.000 , 085748491916 - 7gb  38.000 , Voucher Three AON 6gb  38.000 , Voucher Three 42gb 83.000 , Voucher Three 7gb  38.000"/>
        <n v="8.58676858680812E22"/>
        <s v="085867685868,"/>
        <s v="—"/>
        <s v="0895635163433 ,08989718016,0895328180800"/>
        <n v="8.96819969450897E33"/>
        <n v="8.96626805010895E35"/>
        <s v="+62 815-1737-7727"/>
        <s v="081567895857,"/>
        <n v="8.56011430920895E24"/>
        <n v="8.95167758640895E23"/>
        <s v="6285852710931 , 6285755758648 , 6285785029281 , 6285646308200 , 6285785971492 , "/>
        <s v="6285808511393 , 628560766334 ,6285745483971 , 6285730284842 , 6285607577621 , "/>
        <s v="085731209887 , 085895404542 , 085855024437 , 085791956458"/>
        <s v="6281517528145 , 6285646058100 , 6285736015342 , 6281558444977"/>
        <s v="6285895923687 6285606206691 6285646306890 6285604559286"/>
        <s v="6285713893554 6285792530420 6285468994563"/>
        <s v="085850652511 , 085701661530 , 085857515955 , 085607752011"/>
        <s v="089616806185 , 089505534390"/>
        <s v="089518113757 , 085704651634"/>
        <n v="8.95347539178089E34"/>
        <n v="8.56077968720896E22"/>
        <n v="8.96121143360857E35"/>
        <s v="085731609592 , 085648893098 , 085233617255"/>
        <s v="085748485194 , 089678940114 , 08998808226 ,085853917577,"/>
        <s v="085780174692 , 089616197605 , 089678937894"/>
        <s v="089525563795 , 085704010338 , 089616820381 , 085746731610"/>
        <s v="085600545868 , 0895398337222"/>
        <s v="089690209551,085842927936 , 085847527188"/>
        <s v="085842036572"/>
        <s v="085842036586"/>
        <s v="+"/>
        <s v="085738663017/085640655161/08570105586/085759812312"/>
        <s v="085738663017/085640655161"/>
        <s v="085876164223/085819848081/085799063721/085869283671"/>
        <s v="0895370161838/085837578171/085780738980/085866941959/085643944113/08568239867/0895383240672/085701687078/085802782996/085640595362"/>
        <s v="081575706600/085640830710/085712457980/085712591611/085641984572/085701518629/085640000925/085877047264/085712591611/085759812312"/>
        <s v="089502505183"/>
        <s v="0895635016220"/>
        <s v="085600157738"/>
        <s v="0895635016234"/>
        <s v="081556689175, 085727359763, 085799993295, ‪085700804330‬,‪085701991846‬"/>
        <n v="8.56411963840858E34"/>
        <s v="085812428755, 085812428546, 085812428602"/>
        <s v="085729204111,085700009120, 085731200066‬,‪085740306663"/>
        <s v="085878286483,‪085868483582‬,‪085793330752‬"/>
        <s v="‪085743489766‬,085729818109 085753852005,085726111209"/>
        <s v="085729818109,‪085842908467‬,‪085812383603‬"/>
        <n v="8.95245229290896E46"/>
        <s v="0895326372978,089519326518,0895422947337,085799993295,‪085848640405‬"/>
        <n v="8.96622020100856E34"/>
        <s v="085601243465"/>
        <s v="085739074250"/>
        <s v="1.(08973875431) 2.(081515528723)"/>
        <s v="085603472060, 0895342284435, 089687572382, 085643856478, "/>
        <s v="085865947480, 085800110310, 081545617620, 081575497466"/>
        <s v="085842015504, 085842015869, 085791173153, 085791173152, 085842015960, 085842015964, 085752024452, 085842015966, 0858702171538, 085842015927, 08157683435, 085842015923, 085842015980, 085842015272, 085652233575, 085842015499, 085878600507, 0859653943807, 08"/>
        <s v="085643445438, 08580408627, 085640738698"/>
        <s v="085606598298, 085747772350, 085600258240, 085829168163, 081575713229"/>
        <s v="085726794462, 085702270637, 085876389012, 0857420352122, 0895360261743, 089654634050, 085702211158, 085786093248"/>
        <s v="1.085743486337, 2. 085738548876"/>
        <n v="8.15683475660895E34"/>
        <n v="8.56277372208564E131"/>
        <n v="8.56415230120895E118"/>
        <n v="8.95403146998089E85"/>
        <n v="8.15886008508952E91"/>
        <s v="085645097434, 085600910705, 2001408005999, 085600910705, 200149050120  maaf beberapa cust tidak bawa hp dan tidak hafal nomor, jadi saya input kartu seri dari voucher nya"/>
        <s v="085802638984, 085875085551, 085702750945, 085879558121, 085848454908, 085803440125, 085643063749, 085800647040, 085725445439, 08562693131"/>
        <s v="2001499543000, 085641898414"/>
        <s v="085640229659, 089504994548, 085700935481, 085640881919, 085642215597, 085712407016, 085700501175"/>
        <s v="085876920004, 085700501175"/>
        <s v="085759730800, 085867155825, 085741927879, 085848454908, 085692776779, 085842726636, 085641275876"/>
        <s v="085842726636, 085877765199, 085877765298, 081575456238, 085600816489, 085728776814"/>
        <s v="*Tidak mencatat nomornya"/>
        <s v="*Tidak mencatat nomornya "/>
        <s v="085648980838"/>
        <s v="Voucher tri dan im3"/>
        <s v="Voucher "/>
        <s v="085725030957, 085735328384, 085176735927"/>
        <s v="085725340240, 085606352495, 085736057392, 085608818480, 085726096835, 085641384131, 085774500309, 089601629853, 081559820419"/>
        <s v="085708085140, 0895805332356, 085736116891, 085648339773, 085784913705, 085706618626"/>
        <s v="085607174881, 08983875554, 085788135085, 081615738928, 085850142742, 085895373835, 085853495770"/>
        <s v="085792632135, 085745337242, 089530452176"/>
        <s v="  085738260429 (7gb) - ⁠085843969587 (50gb) - ⁠085732349373 (17gb) - ⁠085785924800 (7gb/F1) - ⁠087857247746 (5gb) - ⁠087848335416 (7gb) - ⁠089523026019 (60rb) - ⁠085792154558 (26gb/f1) - ⁠089523026019 (60rb) - ⁠089512027890 (10gb/happy) - ⁠089699900971 (7"/>
        <s v="085712158496"/>
        <s v="085712158303"/>
        <s v="085712234794"/>
        <s v="085738684544"/>
        <s v="085643217241"/>
        <s v="085842908795 - 085725467322 - 085741907867 - 0895328248974"/>
        <s v="085601230285"/>
        <s v="085602664267 - 085642100138 - 085727892269 -085641122496 -0895336260795 - 085815030148"/>
        <s v="089633597208"/>
        <s v="08980186601, 089654851442"/>
        <s v="08983888189, 08985488532, 085779157927, 085730566552, 0895622624310, 085640511129, 085726160161, 085733240253, 085851588809, 085731243277"/>
        <s v="089654851442, 089855494224, 081615144796, 08976851394, 085756035249, 085785217628, 085749659078"/>
        <s v="085617002529, 085607347015, 089815774420, 089930334835, +7 voucher "/>
        <s v="089637875339, 0895380560077, 085756035249, 085749659078, 089506051000, 089697188783, 085752932945, 0895367297184"/>
        <s v="085726955520, 085726955525"/>
        <s v="Voucher"/>
        <s v="0895414437057"/>
        <s v="Sy minta Tidak dikasih nomer y cust"/>
        <s v="085731270290 / vocher:8581425515771342"/>
        <s v="isi ulang vocher "/>
        <s v="vocher "/>
        <s v="085733555770"/>
        <s v="Serial number = 2001370519151"/>
        <s v="(085766751983) (085878086195) (085855578131)"/>
        <s v="081555464112"/>
        <s v=" - ⁠085738039312 - ⁠085738039314"/>
        <s v="08156566300"/>
        <s v="08156564500"/>
        <s v="08156566300 08156564500"/>
        <s v="1.085701771704 2. 085729359658 3.085701771629"/>
        <s v="1.085704287377 2.085852639357 3.085606122297 4.081555905839 5.085812316559 6.088980452358"/>
        <s v="1.085606123994 2.08165433817 4. 085816040420 5.089681558073"/>
        <s v="1. 085657063238 2.085722675397 3.085655224465 4.085645123163 5.085735341559 6.085607908511      7.085792440461 8.085704665831 9. 085850210005 10. 081553195092                   Three 1. 0895337261499  2,089636952745  3.089672110959   4.089677546009"/>
        <s v="085604679841"/>
        <s v="1.085806230627 2.081515762838 3.085729740688 4.085852351699 5.085843496980 6.085755145471 7.085855619476 8.085648641559"/>
        <s v="1. 085604477718 2. 081553863944 3.085850574206 4.085815664035 5.085806250225 6.08155137341 7.081554250363 8.081528644218"/>
        <s v="1. 085704434846 2. 085718488441 3.0858502100005 4.085815062546 5.085784914025 6.085800578927 7.089639500306 8.089679131155 9.08982820104 10.08976859400 11.089502460075"/>
        <s v="089679128050"/>
        <s v="1. 085806254079 2.085708503771 3.085850612790 4.085607061128 5.085750550990 6.0857733889144 7.085852663737 8.081554250392 9.08816201983 10.0895623387860"/>
        <s v="1.0857704170753 2.081559368428 3.085607887529 1.089526394028 2.08990872771"/>
        <s v="1.085604001005 2.085733530802 3.089676477164 4.08967878363 5.0895332045511"/>
        <n v="8.56554390290814E34"/>
        <n v="8.58660000720858E23"/>
        <s v="085174488518"/>
        <s v="089535967035"/>
        <n v="8.15750279190896E22"/>
        <n v="8.96768062540896E34"/>
        <n v="8.95406561686089E36"/>
        <n v="8.96299712650858E46"/>
        <s v="."/>
        <s v="089525608574"/>
        <s v="08952713817"/>
        <n v="8.95309331110856E21"/>
        <n v="8.96746621940856E34"/>
        <s v="085748992304, 085697571283, 085604654801, 085732743457"/>
        <s v="085791273297 0895645151639 085746463718  0895625362233  085746463718  "/>
        <s v="0896 750 30502  0858 9578 6601  085707076372  085710235558  0898 4577618"/>
        <s v="0895421846926  08967323 2061  085 64 655 8750 089516186430  085842779728  089518963484"/>
        <s v="0815515111695  085895336839 085704418070  089654632789 0895621109265 "/>
        <s v="085866843519/081548118590/089541778996/089675300205/085876193976/0895367093967/085740759406/085647572500/089721022666/081568406809/089536036732/085728628962/085803685448/085741634877/089526943131"/>
        <s v="0895049987197,0895320603173, 0895611493520"/>
        <s v="085709980612 , 089673499234,08976705194,0895622995017 "/>
        <s v="085655109432"/>
        <n v="8.56404562210858E68"/>
        <s v="085792005389"/>
        <s v="085540580396, 085842923963, 085728546164"/>
        <n v="8.95379005618083E48"/>
        <s v="089647322988, 089628115730, 085601836976, 089688049896,08996717823,0895622989306"/>
        <s v="085859032985, 085875066365, 085791207591, 085712409512, 085867833510, 085733504434, 085649814079, 085800113920, 085850142742, 0895384717100, 085785753928"/>
        <s v="0895428893183"/>
        <s v="1.085748701705 2.085606607854 3.085773914601 4.085869240729  5.085645123163   6.085735341559  Re Buy Three-  1.08973708488"/>
        <s v="085808403767 , 085706037804 , 085607027524 , 08563053412 , 089657422333 , AON 9Gb , Happy 7Gb  "/>
        <s v="List No. HP yang melakukan isi ulang"/>
        <s v="086112457603"/>
        <s v="086365369789"/>
        <s v="1. 085733621125 2. 085749549485 3. 085645452029 4. 085773769635"/>
        <s v="1. 089504744464 2. 085536930726 3. 0895399488278"/>
        <s v="1. 085732317400 2. 085806042745 3. 08574177532 4. 089507312456"/>
        <s v="085652170381"/>
        <s v="085548482863"/>
        <s v="8564516 4944 085791943323 0895 42 37 13578 0895639052073   085806555510"/>
        <s v="895411958999  0895402526994  085646539945  085741116861  0856 04427779  08563423235  087856955350 085649272163  085738677184  085730127697 085730127697"/>
        <s v="85649720019 085707964322  087842221767 085743474651 087812271027 085852903096 08989894602 085854370752  085701754071 085707964322"/>
        <s v="89602333259 089602338594 085725110191"/>
      </sharedItems>
    </cacheField>
    <cacheField name="Upload Foto Kepulangan dengan Time Stamp (untuk Bukti Kepulangan)" numFmtId="0">
      <sharedItems containsBlank="1">
        <s v="https://drive.google.com/open?id=1eNqXWrNDv_TnHPJ4gi2yqCPCrKy3kLYH"/>
        <s v="https://drive.google.com/open?id=1d6-B-E9J0gX_4S5aKXSfyt9Wo1iPv_I8"/>
        <s v="https://drive.google.com/open?id=1XMWLLwp8sYDmiZfqc4ml80Iy5XFmhoHG"/>
        <s v="https://drive.google.com/open?id=1tblnvsy7V_eeK8REceVd2XhOFXGuQDWd"/>
        <s v="https://drive.google.com/open?id=1bdKbl-eyqe8HFVvOXN4AN43wYnocTmod"/>
        <s v="https://drive.google.com/open?id=1Y9HypKMoyK4jtoK018cY-DiJrZcOaKUr"/>
        <s v="https://drive.google.com/open?id=1LhJiPiK4SCVm78PwMiSf8erVINOog32v"/>
        <s v="https://drive.google.com/open?id=1KYCYjs9raBFhFi5MYJdOjEeborPg04f7"/>
        <s v="https://drive.google.com/open?id=1dmCE41-tobTZhqXyLfPyzsAWQSKbglwY"/>
        <s v="https://drive.google.com/open?id=1YnyyX0uk2TsPolRALJLkkfzJbRQgNRAe"/>
        <s v="https://drive.google.com/open?id=15VEFiXchewIvCDCmkfAjq1DdkdZhfUU2"/>
        <s v="https://drive.google.com/open?id=1gjS8pZYc6-gNFQSk-GByhtMt0cr6d022"/>
        <s v="https://drive.google.com/open?id=1DI-LFeWXAZKtDtjlLq7xntF8AWljNCZz"/>
        <s v="https://drive.google.com/open?id=17u7JCJMyBZ0fpgtUdJknpl2f3PZk3IAw"/>
        <s v="https://drive.google.com/open?id=1n8jJ10CZ20V-szo8IQw3N2S2xgsg342H"/>
        <s v="https://drive.google.com/open?id=1s4zAe9Z1BL3S6RMLZS15P7kxe3pFEALd"/>
        <s v="https://drive.google.com/open?id=1E8MnvmXq977i0hskQ10LmX9qvqIjgl9g"/>
        <s v="https://drive.google.com/open?id=1sI3bQyv2-wubbWmWWcHynwlW-gCfPoAT"/>
        <s v="https://drive.google.com/open?id=1TlnlOStGRsQpeKHXLgZfJmbYSfS5-TpJ"/>
        <s v="https://drive.google.com/open?id=12EznUPtNDEhAE2A3FrQk9EcSUqEPIYRp"/>
        <s v="https://drive.google.com/open?id=1LM-1_OKv3apzvpJvknrAJfBsUEyfnayN"/>
        <s v="https://drive.google.com/open?id=1y8lG_79Anz6UZXoTmNkHu8NFvJXjXjER"/>
        <s v="https://drive.google.com/open?id=1ThoO1n--rtL3qr964FbUNA79XzaXbsaS"/>
        <s v="https://drive.google.com/open?id=1fPZd5danS3zON9d6v285XBBaOxDqsQ5k"/>
        <s v="https://drive.google.com/open?id=117F_2ckmByK4B8NjV6HuYRtz2yS45crb"/>
        <s v="https://drive.google.com/open?id=1VmReSCvbuSJPSnxLPO-gNW5cnBH6-NJ3"/>
        <s v="https://drive.google.com/open?id=1hlAJxHVjOE8gYP-5JlhOs1_ufl7xo-CU"/>
        <s v="https://drive.google.com/open?id=1TR0J4ERtj0DP0NKjdw0f5S-eoZ3c1V8X"/>
        <s v="https://drive.google.com/open?id=1CHlNpsshA-KEUAhe2TwuLWcSqeNX1oca"/>
        <s v="https://drive.google.com/open?id=1qBJZr2R8HgCdKx553f2_nx1SMKvtAWUY"/>
        <s v="https://drive.google.com/open?id=1XNWk20nFEkpGUlOUabbNQrGD5R36xMCy"/>
        <s v="https://drive.google.com/open?id=1W-tstGIbEeSbnzb453LtfJfTuEpbdzY0"/>
        <s v="https://drive.google.com/open?id=1KLQh8OOHMdsUKPtdC1qkq33E8JIWEw9t"/>
        <s v="https://drive.google.com/open?id=1p5NPQ83wH3nQWxjwswQ6AMCMSyJ9-Q22"/>
        <s v="https://drive.google.com/open?id=11-0M__41-VDWJe1dylwxBDXwzWCiFnXB"/>
        <s v="https://drive.google.com/open?id=1ETkOJCgpMMbqb90iRloJtYtiyhfZA51E"/>
        <s v="https://drive.google.com/open?id=18zIwk_TNW7-xeqOhZ0fKo5cF6t3R0Fvj"/>
        <s v="https://drive.google.com/open?id=18FPI3y85s4T8sjTJfq3NTEfTClUdoAv2"/>
        <s v="https://drive.google.com/open?id=1oAYcxi6_D4Eatv8udLhArQIbN1WjM9uB"/>
        <s v="https://drive.google.com/open?id=1CkfzqYXEFqvipkwGvUGGpovAA6Tp2vZe"/>
        <s v="https://drive.google.com/open?id=13yfzRHYVwjhiFO0xyLyLVudk-l5R9reK"/>
        <s v="https://drive.google.com/open?id=1f_SVntkSwYGcSbkXyLkfu3ZNoxQo1wpM"/>
        <s v="https://drive.google.com/open?id=1OSNsGipjSMaMpT6P3lopSs3xzYtPznqZ"/>
        <s v="https://drive.google.com/open?id=1CNxbLC8dPhzAHJj6-ge6r-em_SBurATo"/>
        <s v="https://drive.google.com/open?id=1t4ZVYfMc4DKwQmJjRf_qICrxMn1YpxXV"/>
        <s v="https://drive.google.com/open?id=1AXUU8azrcGtNB4kmU4p6ZkfsYtXlIGEo"/>
        <s v="https://drive.google.com/open?id=1AqHQL2ECVhBNwO5BMy7DZ-I0Fgb3O2BE"/>
        <s v="https://drive.google.com/open?id=1Dufv0XW0yxNORRjkcfUuukZqCpYA1KOo"/>
        <s v="https://drive.google.com/open?id=1L1toLE6XXcf_-EAvBV8YNmDegkktvXu0"/>
        <s v="https://drive.google.com/open?id=11gOW7EMseXBeG6aSX1mgZ4trCF0vC2S-"/>
        <s v="https://drive.google.com/open?id=13V8lmGMyjiF-ybG33GSIFhoXQ3Ejh-CI"/>
        <s v="https://drive.google.com/open?id=1wrMHIV5tmVWl0h41ECdQgGmSHufrNk2r"/>
        <s v="https://drive.google.com/open?id=1D5VDyvtttScJlIcDiCnF0kyIJrWvufCi"/>
        <s v="https://drive.google.com/open?id=1MxHvdcsGFVJLPYAzgmw9BBSW5d-WF30i"/>
        <s v="https://drive.google.com/open?id=1vrqLsvaPWuS8yid3vTue-x8Uo2bstMqG"/>
        <s v="https://drive.google.com/open?id=1TqpMuS30QE7YmhFnMrO5ChmFzwhQ7Pso"/>
        <s v="https://drive.google.com/open?id=1ddagwiMiQZmJXV2CrUCTLwSSYihE-Or6"/>
        <s v="https://drive.google.com/open?id=1ojvsgi8v8FL6zucM-t7IHDorSrkyM3eQ"/>
        <s v="https://drive.google.com/open?id=1MN5BZTEZ4quVNQU_AcxQvAV7DHgCs5j9"/>
        <s v="https://drive.google.com/open?id=1TQDD7nPRJKxy9mz8QI5NnmSWxVqMd4Qa"/>
        <s v="https://drive.google.com/open?id=1SMA6xhZc6lFqv0ivnzVbSgrGT_bni8Jj"/>
        <s v="https://drive.google.com/open?id=1TZPhR1FU4Op4Y_RD1AwWYWGDWxjPU2Lu"/>
        <s v="https://drive.google.com/open?id=1ri2b910qi3AGtnnw4mUyTAh1ZVNtyGzq"/>
        <s v="https://drive.google.com/open?id=1mowx6nOyVIRxhyQBlTX7IQEIbykLDDPo"/>
        <s v="https://drive.google.com/open?id=1ShXcCvFkOAsaP_zPLEjTSK_B1y1FBDqH"/>
        <s v="https://drive.google.com/open?id=1Om_2kjoU-3xE5RPGz3_n88UkOleGuIMx"/>
        <s v="https://drive.google.com/open?id=1gQQzXjhmj0pwXbE0IAKe_wizZ2OBmPT_"/>
        <s v="https://drive.google.com/open?id=1hEXzcANVq61RdRa2Oi5rfZXG_LQu5Mlp"/>
        <s v="https://drive.google.com/open?id=16QZacA4zCKPmW5DN1hO3YDA02wqHACD3"/>
        <s v="https://drive.google.com/open?id=15kOmtyIGYgTMGlKWL8WnRX8gnKXCpN7p"/>
        <s v="https://drive.google.com/open?id=19Cp1V9GPu1Dh4uhuEAYVwhAGAopzxe3i"/>
        <s v="https://drive.google.com/open?id=1gFT3mgXQsW40Ti04pLiHKEE1-qczsyee"/>
        <s v="https://drive.google.com/open?id=1CSNqSqqkqy0dX30H8ZcUmEJUO5HZSKBV"/>
        <s v="https://drive.google.com/open?id=12s6-v-Lqgc0yuhA1Apj6tvw0hLL4xtzH"/>
        <s v="https://drive.google.com/open?id=1oC1n8ihD9GXUp-ijKuB_2WW2b9-HCpJg"/>
        <s v="https://drive.google.com/open?id=1kaTUs2XguPNnZtVdg-0npfsIYitscAPr"/>
        <s v="https://drive.google.com/open?id=1B0_T7kWXX2LfXupoJetxCNJffw4nTj4h"/>
        <s v="https://drive.google.com/open?id=1cnyAbFpNL6kd19fTsu_3skS61JsUJ4PX"/>
        <s v="https://drive.google.com/open?id=1ZOd7W1KxEmFmg_ARE16dus6KqYSu6ffA"/>
        <s v="https://drive.google.com/open?id=1GhszfX7XXFdmDbzOtIHXr17SMc-6IDv9"/>
        <s v="https://drive.google.com/open?id=1Bmv9ci0WWb0df-GoZ15tAVrLi_H7S5tS"/>
        <s v="https://drive.google.com/open?id=10ul78cReRB5eNCOxnbVYDwlSl9mYFL3P"/>
        <s v="https://drive.google.com/open?id=1_dLZx2XA1QCRo2TKNdyiX__iRNKKbVYy"/>
        <s v="https://drive.google.com/open?id=1AGNU8jOROV7k_ddH2-bhXusmGDqp97OB"/>
        <s v="https://drive.google.com/open?id=1jvUtKdOIGaXr0K2IQX58dN_BsQ6G_5o7"/>
        <s v="https://drive.google.com/open?id=10kccmgafFDiTJd3K_QLzhIEbm8NpfItf"/>
        <s v="https://drive.google.com/open?id=1yOIl4wZrMH5_g3MhdVkPJeh9DxfnTdi2"/>
        <s v="https://drive.google.com/open?id=1YWw7AZQEhGTaMTyrVnZYiZay4ok5vEYb"/>
        <s v="https://drive.google.com/open?id=1LS257a2Y0I7Nwy65KhSA4nDELdyVJ-JW"/>
        <s v="https://drive.google.com/open?id=1cXQHSrCr2pQOk7L9jNPEMM0gUvs7Kogq"/>
        <s v="https://drive.google.com/open?id=19yoBl8jc2ysWPxoSUI0Q9r_kfHlojHHx"/>
        <s v="https://drive.google.com/open?id=1I7uClppzI_L3H6oB5kAyWj5P9mpVabc_"/>
        <s v="https://drive.google.com/open?id=1g5kah-uBIdp7CF0bbDolI-c6Go0-CYpm"/>
        <s v="https://drive.google.com/open?id=1jF-SGHVdUB2B0b9mHOSdrFtEjHA26wqY"/>
        <s v="https://drive.google.com/open?id=1elHLLGrAR22J-QKpGj5W1SKyRagN_eSb"/>
        <s v="https://drive.google.com/open?id=1f1hmUaqNFKKnWC23VMXNQWHjKvYm1-Z-"/>
        <s v="https://drive.google.com/open?id=1RXEiBe-9Xbkbqk_mqODjwaq3yk0z3fc2"/>
        <s v="https://drive.google.com/open?id=1GsVIcQhieEc6XAzKQU8Wi-7VxgfQKlkV"/>
        <s v="https://drive.google.com/open?id=1zBzP8hcKC0fYXzmKY7RV4aJaTMDj1dS7"/>
        <s v="https://drive.google.com/open?id=1kvH6919Exzl0gGgC4uMW3BjBrmOpAUFG"/>
        <s v="https://drive.google.com/open?id=1wK9foCGRxU_-c2JztKnEX4UQxFijO78j"/>
        <s v="https://drive.google.com/open?id=1PYYRB4xtOhQGYAXhv0DAOnhv3m0Rnkxy"/>
        <s v="https://drive.google.com/open?id=1_jcXSInpElHb1fS4ttHRQrYGFCqtiKiE"/>
        <s v="https://drive.google.com/open?id=17o1q6Weg7MK-2RjfeUK0AgsNiHjyHewY"/>
        <s v="https://drive.google.com/open?id=1ltj3GBUQmxRXH6OP0rHSnEDYw-_WW4yL"/>
        <s v="https://drive.google.com/open?id=1tGeWKr4PrW4H4rofz2Aw2wWaxuSUFQzU"/>
        <s v="https://drive.google.com/open?id=1TWMBIUG797cL0PgrlF-zmw3o0FG501sc"/>
        <s v="https://drive.google.com/open?id=1dqEEvZjc3-HSxArE3T0TahSmbzFRaNCO"/>
        <s v="https://drive.google.com/open?id=1jhGt5AJbIh85O8I8ZEwCevRuhHIW7OTn"/>
        <s v="https://drive.google.com/open?id=1AtdFUxvQGcpxux9oY3xjre0EM46ZYwP6"/>
        <s v="https://drive.google.com/open?id=1flSjScIzgvDaFlKnskktkX6PDBTM64ba"/>
        <s v="https://drive.google.com/open?id=1DFJ2tLTI8zvv-QezYhfLgJIS2cfSr31W"/>
        <s v="https://drive.google.com/open?id=1dcY99RelMhP2eWa3Jf1T312rUK7vh0MB"/>
        <s v="https://drive.google.com/open?id=1MESM3X45oeOJ8ON-UA997FTysLLn04U0"/>
        <s v="https://drive.google.com/open?id=1Cmoag0Y-Ur9VOTYlQzr9V3P5a1ekImiL"/>
        <s v="https://drive.google.com/open?id=14NhvgUC7T_EYqphxgH53YnNepvahw0dM"/>
        <s v="https://drive.google.com/open?id=1txRfOhGftkT_AXMR-91U9xX0Wt8ZCEMj"/>
        <s v="https://drive.google.com/open?id=1MTYlMs3GmipZosYx6GWFFVRMNXdwaHKD"/>
        <s v="https://drive.google.com/open?id=10gNEhy3sljVx5wn4uAZPNSpA3Xc3gKMK"/>
        <s v="https://drive.google.com/open?id=1Z_WY_TkUEhHCQl4lef3p5wJLsVF63j_M"/>
        <s v="https://drive.google.com/open?id=1qd2Nhy04_2h1g1VAZS_W8DigSUMvr7N_"/>
        <s v="https://drive.google.com/open?id=1KgYOaGUkbeDmFndABdxNOWxNgG8G6d7R"/>
        <s v="https://drive.google.com/open?id=1Hhde8xHloqtzLv-0W-MnEiggV4-hWMjJ"/>
        <s v="https://drive.google.com/open?id=1yvG_Il5zM68pDKIsKaf9WhClZfmBjXXZ"/>
        <s v="https://drive.google.com/open?id=1CR08cWZQYxeSHyboBYdjGODVnq-0dj9d"/>
        <s v="https://drive.google.com/open?id=1rm1syms9OyA3WVK-EXHBNC-vDBscdHTv"/>
        <s v="https://drive.google.com/open?id=1YyVmSCWJU51I9iPDVeU2hNXd6L1JftWA"/>
        <s v="https://drive.google.com/open?id=1lqcGEwOf2AaZzeWLkY0Laod0WtOKTWUL"/>
        <s v="https://drive.google.com/open?id=1ThX6NakAj4HUCQEoXloyZGIIDhEE53Y8"/>
        <s v="https://drive.google.com/open?id=1jRXVacmhTJmnk6sL25gyT7uKTQr5lFkn"/>
        <s v="https://drive.google.com/open?id=1y9dMzBbC6sB7xfOAkkcyZVClWC4LDWbB"/>
        <s v="https://drive.google.com/open?id=1J4IXSpSspFhvwCMcT1B2YKeDRCNw_CjD"/>
        <s v="https://drive.google.com/open?id=1kz7cz9A0deUYpdzZrgvkgiuiJpTtGYPl"/>
        <s v="https://drive.google.com/open?id=10xwDg880Mt-saIF-4KLuy3FwQQufIe4-"/>
        <s v="https://drive.google.com/open?id=1Xf6XYsFvmtF1sL4eJcyTEZvzX02dVNZx"/>
        <s v="https://drive.google.com/open?id=1CY0Jl9yD4nC4n32-8mIuoYLha5WMSqoy"/>
        <s v="https://drive.google.com/open?id=1k0bLrsGM0GVpueQWABF_2IcYqyZtKsu-"/>
        <s v="https://drive.google.com/open?id=1OaM2RA3xeQkSLU782CQoB8decsTxSM1h"/>
        <s v="https://drive.google.com/open?id=1sDI9ueIsEh2QAMQ69PqPdDonjx-G8J8Y"/>
        <s v="https://drive.google.com/open?id=1jPXDekAJ6q-1rnaMB8ekLjBh5nYE0rDI"/>
        <s v="https://drive.google.com/open?id=1cibqw3-Fk3cRFLQ0pkOaY1XFONl9NBee"/>
        <s v="https://drive.google.com/open?id=1H84hRhI_0_3A1WoenSqYHopUQJd_AJ2d"/>
        <s v="https://drive.google.com/open?id=1jbhJutbXC05FrQkkPWtNGMl7tdSBfXmc"/>
        <s v="https://drive.google.com/open?id=1ZSjhobe4hlbpeHooR6utIztV8us6CVqX"/>
        <s v="https://drive.google.com/open?id=1XRMYOjditJeIeyl0284_0yPMRJLJvYUG"/>
        <s v="https://drive.google.com/open?id=1fiuldyZTqKZ99vMstFip89Uu-kyJz2VS"/>
        <s v="https://drive.google.com/open?id=1p8NL12gvj_u9ruTtV4BjJut4_9s6szW-"/>
        <s v="https://drive.google.com/open?id=1b0fOhD5sG6x8weDWj2THFiYzcM6sdVdg"/>
        <s v="https://drive.google.com/open?id=1nykUK4p-aS9XjUF1uPZEa7A9nSpfF1AN"/>
        <s v="https://drive.google.com/open?id=1aOCE4P4XYX30LiAXE4GHzTu_tr5cKAVk"/>
        <s v="https://drive.google.com/open?id=12vrUxqce0xl675rNDf7hoWUeNXAVsMao"/>
        <s v="https://drive.google.com/open?id=1_rcQF5AvQnXc4hlUUmsOvkSlWZ8YkpVH"/>
        <s v="https://drive.google.com/open?id=1s7c3X3qxnKaF4q4ba3O_uvi5rah8fZO3"/>
        <s v="https://drive.google.com/open?id=1hX0fn0IoCFzmi9WGRYWyMouh94_kos_C"/>
        <s v="https://drive.google.com/open?id=1uMO7r6xbEpM71p-jC4QtfIwRxUwDnO2Y"/>
        <s v="https://drive.google.com/open?id=17v10QCZFMZY-TApGx5xQYvofa1MOdKCF"/>
        <s v="https://drive.google.com/open?id=1YyU2HxL4V0evhw0H1fvyqRG2QwrPIDau"/>
        <s v="https://drive.google.com/open?id=1IictuntbBLnEJd7JyymnbZkqcHWexgXI"/>
        <s v="https://drive.google.com/open?id=1vju1mTXzs1bTlDb55Qe75XKzif4wCWNx"/>
        <s v="https://drive.google.com/open?id=1Y3MeLUU6Re9CLPklOX1d2CItL0m9ZNNl"/>
        <s v="https://drive.google.com/open?id=1qKtxoRQuDPmAhgSBSXW0wbIdZcKE5bZN"/>
        <s v="https://drive.google.com/open?id=1DA8flefHZT_Hegtb-qLI-zS5GSA7n3a5"/>
        <s v="https://drive.google.com/open?id=1o6MKVFmvmPOwXwc2P0teuzdg1KR-cHaP"/>
        <s v="https://drive.google.com/open?id=1bTArrXPzgNMz4DrPs1pT6Dx9wpN08Thh"/>
        <s v="https://drive.google.com/open?id=1LT4OI8p8fXl15M_3CBy0Wu91KjJ_6sLj"/>
        <s v="https://drive.google.com/open?id=1aNfD68g5QwnDY0V7aDqPv_PQ7LRIicO-"/>
        <s v="https://drive.google.com/open?id=1_pELk2f_WIrq8qo0dGFnSw-02PvOrlng"/>
        <s v="https://drive.google.com/open?id=1yf7_uhy5YlvL_PBJ_DFwc2O2aFaEAszm"/>
        <s v="https://drive.google.com/open?id=1WTY6b8XTZcEsYU6CY3KRa_Bn1wFCr29x"/>
        <s v="https://drive.google.com/open?id=1xDCP4Idm-JdOBmwkw5Ud9Bew6d8snO1a"/>
        <s v="https://drive.google.com/open?id=10FHk7j3iTE7cpz_FL3hTKadlXkG31CLa"/>
        <s v="https://drive.google.com/open?id=1zFuZP2O6pHQxv1u2lTP75AWZK7zy5Uvc"/>
        <s v="https://drive.google.com/open?id=1vDnh2J1Io7RMBIOVnWbS93dFA1u-6YRC"/>
        <s v="https://drive.google.com/open?id=1bxC_fHi9drCz78bDjtTYw3g8c3XLUqRt"/>
        <s v="https://drive.google.com/open?id=11YKxTSeyxuC1_ulwhgu4n17Bf4SJXix5"/>
        <s v="https://drive.google.com/open?id=1GFuing3k5k5CzdDW3lHRw1dYdhAoX1Tr"/>
        <s v="https://drive.google.com/open?id=19jc7aoGpS_q3IYFuXf-U0EVdlIgHnpEG"/>
        <s v="https://drive.google.com/open?id=1nDOnwoGcpOddJmYhDQ08hstZgFLP-poD"/>
        <s v="https://drive.google.com/open?id=1VDcw452Si_C5stLOiaMkHd_uqzPCA8AT"/>
        <s v="https://drive.google.com/open?id=1HTJOaiUYi28TZiYyFSR8hwLzrIx5SYsq"/>
        <s v="https://drive.google.com/open?id=1lWw7kEUHID-ctw6VNqc4rcrFSKdPDqzN"/>
        <s v="https://drive.google.com/open?id=11hOp3PEsH4wt6DeLb0eprWJclFkdk97G"/>
        <s v="https://drive.google.com/open?id=1mk8bUE5oPhfoQhkzBmdZG8QDk3L0ia_x"/>
        <s v="https://drive.google.com/open?id=1EcGqp8pcbO_97mT74Dbfanouf7J942OF"/>
        <s v="https://drive.google.com/open?id=1iHv9OvWmtLF18D9vFJLY0UKiIYimNeRN"/>
        <s v="https://drive.google.com/open?id=1UjmU3xILJkZJZG_ia8qUsCOP6Aozuaxz"/>
        <s v="https://drive.google.com/open?id=15c8HLxliT01INi0W7RXT-6_MKLu61VgI"/>
        <s v="https://drive.google.com/open?id=1DePGBUtgxK86JAM9M7XwKgpCdx7jTrg2"/>
        <s v="https://drive.google.com/open?id=1XnJ9zQiTI9lLIe4rZAneYjAAB0bojO9W"/>
        <s v="https://drive.google.com/open?id=1Wck4MlP7nINUSLKN93TVQshS2TvEtqIn"/>
        <s v="https://drive.google.com/open?id=1RZjZVXuCaAGvuBwkL6loA_WV717SbUK7"/>
        <s v="https://drive.google.com/open?id=10kRvm8_8g5vJlHHO5roGKSwohR6PoceG"/>
        <s v="https://drive.google.com/open?id=1yaE08E6nMaL4qIUeEN3G3AOlUESmkkDt"/>
        <s v="https://drive.google.com/open?id=1Hp_3rrHH-M-drKeJIXfseKMF7gLXRnKM"/>
        <s v="https://drive.google.com/open?id=1KMTPFF_961oYdPFcjOynWSzI8_ZAWhEn"/>
        <s v="https://drive.google.com/open?id=1CUyhDOC7bpCTtXTdWpkpB7ctMS3RBuOX"/>
        <s v="https://drive.google.com/open?id=1WiF1G9rRcSIX5cj0HZitvhtDpYoxAUIo"/>
        <s v="https://drive.google.com/open?id=18YGtDLopn69FMt7j45dG4hjvUFc2Lfsc"/>
        <s v="https://drive.google.com/open?id=1-DSenWUBBNOePErhk3iRkhv4mVIagVz5"/>
        <s v="https://drive.google.com/open?id=1kCDDI7M92M0aGNb7y_FDToUNYnJAsLDJ"/>
        <s v="https://drive.google.com/open?id=1_fzSzvYpG6590Pyt5_nP4T6KOkSoaYgF"/>
        <s v="https://drive.google.com/open?id=15Ym6WhmBmZXBzEecSl5LNwuSJwD8mCYa"/>
        <s v="https://drive.google.com/open?id=16-p6i_FKzbJLH3pi-sV_RJfG8vbQp466"/>
        <s v="https://drive.google.com/open?id=1_yrbjzUyYaddazZBWWFzChKSRehLaJ1o"/>
        <s v="https://drive.google.com/open?id=1mfoeNnVuPhb8PU-yx7U7wkqE26R4bl4-"/>
        <s v="https://drive.google.com/open?id=17SIi5Jp5UzgzD4hYTb8y7lAa6YrE5RKb"/>
        <s v="https://drive.google.com/open?id=1jc4qnTAqf2ZTNWILsFU1_upmRn_Vu7PX"/>
        <s v="https://drive.google.com/open?id=107OQKQAF3YvdNnZo8TC0PIQRkd0DzADB"/>
        <s v="https://drive.google.com/open?id=1og0HVyBGTt_S7mLDo3F6-0pAvAYNEk6y"/>
        <s v="https://drive.google.com/open?id=1YpALjZyFjOdBJlugOFJAxuvym0-bFSwZ"/>
        <s v="https://drive.google.com/open?id=1NNYsp6vsEz_ns3RWuepMgJAM5SxTqe3n"/>
        <s v="https://drive.google.com/open?id=1jq8IR0GdMS5p3Oz0GvqFz-qHuK3npzQh"/>
        <s v="https://drive.google.com/open?id=1dMCY00A7Eg5Pjjnwtkvs_jEkQaRbFJTz"/>
        <s v="https://drive.google.com/open?id=1t9hiYgacze6tqxT84xZ73Y1ErV4h0UVx"/>
        <s v="https://drive.google.com/open?id=1zhMRbWkFdv8dQMMI5gKUpDUMwJgoSsdn"/>
        <s v="https://drive.google.com/open?id=1y5CnsVsVtIqgH7VrHz9qaVwdpkGtTyYD"/>
        <s v="https://drive.google.com/open?id=1QCOfojMpYmvetN8PJGsqCeSl2uaQ_Kxb"/>
        <s v="https://drive.google.com/open?id=1VgdpTEsTaZU4F16H8tVN3vesDVg6OGeU"/>
        <s v="https://drive.google.com/open?id=1UCP9V0ayTjOQHIMhauCq5CopFJymeumB"/>
        <s v="https://drive.google.com/open?id=13L4IlTGczJ9PWyPtImfwMmPec_NvljLX"/>
        <s v="https://drive.google.com/open?id=1K3flKQHmEjb194KuewNj87K_UBV03FK1"/>
        <s v="https://drive.google.com/open?id=1W2jcqiEertDsxAUYvwITJFOKciFIpvsE"/>
        <s v="https://drive.google.com/open?id=1lxJBauuyLRpeq5EgBzTigXxwsfytkrAg"/>
        <s v="https://drive.google.com/open?id=1p4YUDifRngxYzrxEyVs9FQVVE64OqGp9"/>
        <s v="https://drive.google.com/open?id=10UDYOZ_6gzrf3M2gENPbFmSl6ToxYK-A"/>
        <s v="https://drive.google.com/open?id=1dEGkVSwBkZcU77noaaRj_SY79IRQA7rZ"/>
        <s v="https://drive.google.com/open?id=195jZIbrK1QwMfiScpfGS509nA3oC_nB5"/>
        <s v="https://drive.google.com/open?id=1eYptKW9CrmqQm21Yau8_oBM52l2c3R8T"/>
        <s v="https://drive.google.com/open?id=1zNr5T0gYK3-mWzb5Adt3Wl1CUGSPLMrB"/>
        <s v="https://drive.google.com/open?id=1UFXklMgUEclGvDUMPgAryY9SwYZXp2wO"/>
        <s v="https://drive.google.com/open?id=1l7KCAtEaVg2I0knAn3kidWgGVdvesJH2"/>
        <s v="https://drive.google.com/open?id=1-DHUHwl38mLEe2BYqS_LfpwGsbp5lJNU"/>
        <s v="https://drive.google.com/open?id=1a1SU9aSENt1qLM_5u3o-Dy_y1i4QRlMf"/>
        <s v="https://drive.google.com/open?id=1Eh2ZTi1V9ZRBQlhtGyRp4TTGTYy8KiOB"/>
        <s v="https://drive.google.com/open?id=1dHet1PN0sXbxHCSR6PABpn3_GEHRR8CO"/>
        <s v="https://drive.google.com/open?id=1wJGKUsLqhYvzUA6w9WxTr4jPJ48m33dL"/>
        <s v="https://drive.google.com/open?id=1m2YN2lH8M6B1s576tw4q7exKt1BMWcuN"/>
        <s v="https://drive.google.com/open?id=1gxWjSLiBKVOpShl5ktzIYjUWKXIfLKqa"/>
        <s v="https://drive.google.com/open?id=1iWCcJZ-fHczgqA06XqCchSurTf7MI9PU"/>
        <s v="https://drive.google.com/open?id=1dZUJZLCE0UFphrLv2xrWWO9SOnDFfZgR"/>
        <s v="https://drive.google.com/open?id=1O8Y7Ap1Hvc2qNCF9njC_X9490e4LfcDb"/>
        <s v="https://drive.google.com/open?id=1XXFHyehihg-iITe0ErFdPoh_bDr73PYe"/>
        <s v="https://drive.google.com/open?id=1vqtrOODbLS22dD-VbvbnPgDQEQB4wM_E"/>
        <s v="https://drive.google.com/open?id=12gPoUbc17mtEZysycN-9pI9_6tqUBfM7"/>
        <s v="https://drive.google.com/open?id=1CC8pFP8d7TMOYS_oOLvnlsPthaGXuDw8"/>
        <s v="https://drive.google.com/open?id=1EUSJccgm7tW9sp4YVVGUKOpoBBUvh-Vo"/>
        <s v="https://drive.google.com/open?id=1u5neasVtU3uhGZw-0zZTlM2yGNkesYfg"/>
        <s v="https://drive.google.com/open?id=1fTvxRnm1SyQyvWRFXU9ddipA4czUUJQx"/>
        <s v="https://drive.google.com/open?id=1XGA6qYgnM9e0DYfwvMLbkbZGjpOKnvWL"/>
        <s v="https://drive.google.com/open?id=1WzeTQ9Y30UxC2RrTtRX01wPYZ2S0zQch"/>
        <s v="https://drive.google.com/open?id=1pgM2h7OFs3P6h1aX7rjkyd6oXI7JwGUA"/>
        <s v="https://drive.google.com/open?id=1zJxMvEZsbkKTkpMfroUm0Xx2krh7fa8d"/>
        <s v="https://drive.google.com/open?id=163wpKzkwKIxrA7qyPKpl2602I6rBBamf"/>
        <s v="https://drive.google.com/open?id=1B5IM5RZEP6Dp3BMi4qnPib2K1Ybk6gZP"/>
        <s v="https://drive.google.com/open?id=1OwyFVgwAsxZgN45F1f-aT-DD15W1FGqQ"/>
        <s v="https://drive.google.com/open?id=161yoc0FyT72YteGRNlo7wQrpg4q7Iv8K"/>
        <s v="https://drive.google.com/open?id=13-Qhd1orcs5I-uel2Cp1xLbE4RDi3r_q"/>
        <s v="https://drive.google.com/open?id=1wSDKMoJM_boY2_LaakBk-SD0dr0BCP79"/>
        <s v="https://drive.google.com/open?id=1hhCsmHaTkPODIS_m9_LWYldnrb_NSgA8"/>
        <s v="https://drive.google.com/open?id=1235w2uLdrNrKHc_7uRsCNg4lQJo0pobe"/>
        <s v="https://drive.google.com/open?id=12HWn2K-EcXVPngRqSP2hPFXAj1bdcSDL"/>
        <s v="https://drive.google.com/open?id=1wBlhzsAZrc_ojGsBZ88mBJQM13QbHu1o"/>
        <s v="https://drive.google.com/open?id=1tXEnoa8xL7YFcImN5obWPQm2CVyWU6NW"/>
        <s v="https://drive.google.com/open?id=1L9lIzfv9CYTcYUaYQml7_SUvbUNyGgWP"/>
        <s v="https://drive.google.com/open?id=1hyxv6gS4OtgMCMokwVMgo5EYUTWVspxK"/>
        <s v="https://drive.google.com/open?id=1CVmglxUFVm3J5nQTjjuMYubE0y1b26le"/>
        <s v="https://drive.google.com/open?id=1otstqmBjZnGHu_W3CSxtI8eZgxU-ZE5g"/>
        <s v="https://drive.google.com/open?id=1Oe9egytpt2_KMG-ZU3GOaeoZTafBNQ2I"/>
        <s v="https://drive.google.com/open?id=1a4nqstYDWENsfhSuXFIJDFG01BXnOU6Z"/>
        <s v="https://drive.google.com/open?id=19rHnz1yHkTXhmCkQVFAiHe-Y0qrDDrJX"/>
        <s v="https://drive.google.com/open?id=1kjQgKHpecAb-9Mkq_AGllfsqk18zBkiK"/>
        <s v="https://drive.google.com/open?id=19UBoYYzlZvX72aplUM8vFRRVgFbzB_yn"/>
        <s v="https://drive.google.com/open?id=1bYnPhfUz9HqaRaHKku6JM4hlt8-RnS18"/>
        <s v="https://drive.google.com/open?id=1NYc7GfBgtfAp8Kg-u2GtEWLygmDW-sNk"/>
        <s v="https://drive.google.com/open?id=1ZRtEiDtRt_nYCUCuX7PiXwgHOOjheRqF"/>
        <s v="https://drive.google.com/open?id=1jqTayAKDGpZL1UuPaB_4yFAONJmcFKbY"/>
        <s v="https://drive.google.com/open?id=16-blfD27WfInf_A6VAKGPjZ7F4SmoFNH"/>
        <s v="https://drive.google.com/open?id=1pIJsVYSThJqGhzI3re6RsYLR0_mCGUOX"/>
        <s v="https://drive.google.com/open?id=1QIooWiaHEmRh-iZvwPw_vsFATlpbkYpS"/>
        <s v="https://drive.google.com/open?id=1GJtIWMR2NcQyUI-xF6bpO5VPAqc02R-b"/>
        <s v="https://drive.google.com/open?id=1pgcRAEswCh7J3SNgNyaNJuxij8_J_YpB"/>
        <s v="https://drive.google.com/open?id=10WXo9k-i7ZHVvLbdvrJqSGv46S6GKB-5"/>
        <s v="https://drive.google.com/open?id=1svrxWpVo3EeBMu50fsB3rnRzuEFDHgTa"/>
        <s v="https://drive.google.com/open?id=1Tk-IsFhmtfygQkQ16ZCUKSs0CV2tFI2p"/>
        <m/>
        <s v="https://drive.google.com/open?id=1izrXTIAI915G0DjW0qTJxquEJA4vi8gb"/>
        <s v="https://drive.google.com/open?id=1lUSP8LQm6kOtGKOerpb6_QmBB1u44ClB"/>
        <s v="https://drive.google.com/open?id=1gKVg4a5XPT3x-hnePd3tQN9cbJvCZH87"/>
        <s v="https://drive.google.com/open?id=1keSdM9c66izyDNszgJ-kWyPqe4inoxYq"/>
        <s v="https://drive.google.com/open?id=1RjYO5IQjjw4Stu_zJ0l9jCs77EOsmeQL"/>
        <s v="https://drive.google.com/open?id=1lwFiQ4XOT8w6tUy24lGMS5u-utAX2hay"/>
        <s v="https://drive.google.com/open?id=1UWUxbWoCy1eUPtjUNNZoZkvqUw15PlyV"/>
        <s v="https://drive.google.com/open?id=12AWkoUAlYKvTcHV9J6NgYVZWrVY6dI18"/>
        <s v="https://drive.google.com/open?id=1c4gm9wiKFgPWsQ9J9Lj27LJde0NgBo3b"/>
        <s v="https://drive.google.com/open?id=1RH_7Ep5Na4v2kK9fRPIzwPpnmpmSYj3w"/>
        <s v="https://drive.google.com/open?id=1jccXHPBLifzRKusFx-Qst6KxI1_gKryI"/>
        <s v="https://drive.google.com/open?id=13Fnitj3Iqk5aGUKn8nH4IuEIUmNaycFO"/>
        <s v="https://drive.google.com/open?id=1vlkZNDYF5ua9grpSHHwZA7Pig9MlHHHe"/>
        <s v="https://drive.google.com/open?id=1hEKBqD9G0AxnkbjOIMz5AWyZwNdtJD2A"/>
        <s v="https://drive.google.com/open?id=1hxjiffuH_B-JxCEheIrsg2vcBk71jVL8"/>
        <s v="https://drive.google.com/open?id=1HWSlgimYeRQMs-JyPPEH6uS4COpQVc1G"/>
        <s v="https://drive.google.com/open?id=1Gof-RS1JdauWBDGTjVaRAlohVS-tv_87"/>
        <s v="https://drive.google.com/open?id=1S0BuPN7vJjdLcanamHPRUSxvBFrR2f6s"/>
        <s v="https://drive.google.com/open?id=1GfNI7k2t_zSBdjS4p1aTorxZZRNDW7KT"/>
        <s v="https://drive.google.com/open?id=1cTAhW9LZzU2D278ZXavvjaF6sIXXP_NM"/>
        <s v="https://drive.google.com/open?id=1Iu_FwfI5G5bzgcemsNDyrygIQ3RdsMci"/>
        <s v="https://drive.google.com/open?id=1s-YBE4ruLLEHTlRhKnmtpVpG-iLskOGj"/>
        <s v="https://drive.google.com/open?id=1lfo54YtRZtHhpGCGTnJMhgrdLpgtUqRl"/>
        <s v="https://drive.google.com/open?id=1mVHjoXrExzBMhxV3n2-OFutxv-0AD7-0"/>
        <s v="https://drive.google.com/open?id=107mDkQPM7vfg9VbGDrwHHSaoaT6HyneL"/>
        <s v="https://drive.google.com/open?id=1qyK936bcO6hYNhKlXFgsa1PZHckbePjN"/>
        <s v="https://drive.google.com/open?id=1DEtOO7rvjdfSUkRMfBz-GPIqtoSkn_EN"/>
        <s v="https://drive.google.com/open?id=1mfdlDEnXCM01KkVtkM7TrGI7eQoNgD5G"/>
        <s v="https://drive.google.com/open?id=1clmA5RTGmZwAXzlOf1lHY9vecjyvhqDi"/>
        <s v="https://drive.google.com/open?id=1u8qv4_YElhjKDQlKu6tMgxWqagmrVVWJ"/>
        <s v="https://drive.google.com/open?id=1uAtx60CbBbFsh3uWpkfCFo-WohakX7Jc"/>
        <s v="https://drive.google.com/open?id=1Xmzybz4firjvQE5QuS3hFz0bLcJdXcwd"/>
        <s v="https://drive.google.com/open?id=1qdq200YQFunKGwmcbKq7w12-8rwUzpBw"/>
        <s v="https://drive.google.com/open?id=1KgJlPWz6u61jgaGtU_tO38veYjK2Ip_j"/>
        <s v="https://drive.google.com/open?id=1NFjcn4BTy89ch0oNDjzQFYQpAUGi5U0h"/>
        <s v="https://drive.google.com/open?id=1PL1xZWrAPO_jM4OZf_hxMF6R83dBbnqo"/>
        <s v="https://drive.google.com/open?id=16XYnuce_Lhxlvw8qh5bDD5VYp1RpqXE3"/>
        <s v="https://drive.google.com/open?id=1wjv6r_bKjwT_hMvGPM4B5KnioxrvQ1qw"/>
        <s v="https://drive.google.com/open?id=1Ook2ja2dWudFMGMprxEJL7mBe_uxbJ5K"/>
        <s v="https://drive.google.com/open?id=1t5yS6ShG7RzxPMCzlPJ-Dl5cpmcXOIcE"/>
        <s v="https://drive.google.com/open?id=1VvgxBv7e6mhn5im49UX4iz-VWgFsEUnp"/>
        <s v="https://drive.google.com/open?id=1rncIrFI_FCL0o0wGoiS3ubMPxJTgCKBR"/>
        <s v="https://drive.google.com/open?id=1KsFBgwYvpkZK1UYwWFPsdemxqs7hvXp-"/>
        <s v="https://drive.google.com/open?id=1Mj-5w-z4i77CcvT9Lc5O6gkniVhk8XLF"/>
        <s v="https://drive.google.com/open?id=19DnwMUSEraGmhJOCWmebvDnKw9ZPnc4G"/>
        <s v="https://drive.google.com/open?id=19hRDWlMk8TuGYdyg2nCX1iiA707ZXSKd"/>
        <s v="https://drive.google.com/open?id=1nbWmf74E8l5GliFO1pYxaI7UotSamfk8"/>
        <s v="https://drive.google.com/open?id=1K6oCPgLNnhOTLdNlwNJrJGJXsC3jsY63"/>
        <s v="https://drive.google.com/open?id=1AXJbIjcJFmT1Dm0Pm3mtUYiQN7UE2oTI"/>
        <s v="https://drive.google.com/open?id=135DiGjMX28m9QJfUXQNNWTpd-dqMxbm1"/>
        <s v="https://drive.google.com/open?id=1vWIWC1PMRKy8D53m0NoFGgsbvx81lmYe"/>
        <s v="https://drive.google.com/open?id=1KZsjnDQRNlmZzhYHDtYZkDsNp_WPBb4z"/>
        <s v="https://drive.google.com/open?id=1i_VzxDt56fPQb7_w8z2Gptxm2JZhjWG7"/>
        <s v="https://drive.google.com/open?id=1eMZufyrp3gfKgGLXu1qTwze50OJythS6"/>
        <s v="https://drive.google.com/open?id=16k5r0oQo5GcuLH-YEfM1_7qMtZEAqJMu"/>
        <s v="https://drive.google.com/open?id=10IgZX1kL49sI5k9pg7yDwWXwDigX9wZB"/>
        <s v="https://drive.google.com/open?id=1CqJpIO6N7mHF02YxMFyqIdLvgBjV3Okm"/>
        <s v="https://drive.google.com/open?id=1FEaOXWFxlEg6vIE3W2gIdJ0rVxN7qBT3"/>
        <s v="https://drive.google.com/open?id=1TQcLxh4cK42Ey_OHqyVALWJJS9XHUIrc"/>
        <s v="https://drive.google.com/open?id=18Qf1b5hR7F69mxuz3d_Xgd537t0a7D2a"/>
        <s v="https://drive.google.com/open?id=1aKjzLPFyRi4LTKWXgQ2zum0ej8hbAl-C"/>
        <s v="https://drive.google.com/open?id=1Jd0YP0D0XRo6fiJZwZggUyGXTOhh3cTZ"/>
        <s v="https://drive.google.com/open?id=1oflzJ0KaF6s-oMRjNqA80-p-tnhceL3w"/>
        <s v="https://drive.google.com/open?id=12xOS-DrSJ27p570L2XsEeeFhjeMZadY_"/>
        <s v="https://drive.google.com/open?id=1FoGt7_8yiGHL782jQf5o4TC5nHZcwVdL"/>
        <s v="https://drive.google.com/open?id=1BuXEmN447ijxXbgMl5EYBRhR1ziS1UZn"/>
        <s v="https://drive.google.com/open?id=1l_StfexZmXgUt5g1Pj7TlICT79Zz-6tQ"/>
        <s v="https://drive.google.com/open?id=1JZylQUzZoavXgqrz_2EYXRqO59L3znhq"/>
        <s v="https://drive.google.com/open?id=1LQoGgAqPMGISjzC3tDOYUftJt0dnSYDK"/>
        <s v="https://drive.google.com/open?id=1oyEShjFVGSLv6g2kJXOT-s9ibLXAC_Ri"/>
        <s v="https://drive.google.com/open?id=1es9fj-5uSiHU-zt_VeDQbJQKf38sGqHV"/>
        <s v="https://drive.google.com/open?id=1wh0GWV7-jT0hZlC1jQHe7MpN2FUoYnYY"/>
        <s v="https://drive.google.com/open?id=1qldvN1xEFAzfMmri1qqQH2EeHoEgBbkk"/>
        <s v="Upload Foto Kepulangan dengan Time Stamp (untuk Bukti Kepulangan)"/>
        <s v="https://drive.google.com/open?id=1d6-B-E9J0gX_4S5aKXSfyt9Wo1iPv_I9"/>
        <s v="https://drive.google.com/open?id=1KYCYjs9raBFhFi5MYJdOjEeborPg04f8"/>
        <s v="https://drive.google.com/open?id=15VEFiXchewIvCDCmkfAjq1DdkdZhfUU3"/>
        <s v="https://drive.google.com/open?id=1gjS8pZYc6-gNFQSk-GByhtMt0cr6d023"/>
      </sharedItems>
    </cacheField>
    <cacheField name="Jumlah aktivasi Gemini dari orang yang diedukasi">
      <sharedItems containsBlank="1" containsMixedTypes="1" containsNumber="1">
        <n v="1.0"/>
        <n v="3.0"/>
        <n v="0.0"/>
        <n v="5.0"/>
        <n v="13.0"/>
        <n v="8.0"/>
        <s v="* 2"/>
        <s v="*0"/>
        <n v="4.0"/>
        <n v="2.0"/>
        <n v="7.0"/>
        <n v="14.0"/>
        <n v="20.0"/>
        <n v="6.0"/>
        <n v="9.0"/>
        <n v="15.0"/>
        <n v="10.0"/>
        <n v="16.0"/>
        <m/>
        <n v="17.0"/>
        <n v="18.0"/>
        <n v="12.0"/>
        <n v="11.0"/>
        <n v="21.0"/>
        <n v="27.0"/>
        <n v="30.0"/>
        <n v="19.0"/>
        <s v="8 ( 085800112935,085722122183,0856433161466,089512852986,089684148223,085729172026,0895339350705,08952713817"/>
        <s v="8 (085738321887,085738321902,08157695599,089671399030,0895422861171,085719218340,085788896437,089530933111"/>
        <s v="5 (089695017040,085876274120,08987434843,085867929746,0895808743456"/>
        <s v="Jumlah aktivasi Gemini dari orang yang diedukasi"/>
        <n v="10.6727272727273"/>
        <n v="11.8"/>
        <n v="12.9272727272728"/>
        <n v="14.0545454545455"/>
        <n v="15.1818181818182"/>
        <n v="16.3090909090909"/>
        <n v="17.4363636363637"/>
        <n v="18.5636363636364"/>
        <n v="19.6909090909091"/>
        <n v="20.8181818181819"/>
        <n v="21.9454545454546"/>
        <s v="* 3"/>
        <s v="*1"/>
      </sharedItems>
    </cacheField>
    <cacheField name="hari &amp; tanggal2" numFmtId="0">
      <sharedItems containsString="0" containsBlank="1">
        <m/>
      </sharedItems>
    </cacheField>
    <cacheField name="Brand" numFmtId="0">
      <sharedItems containsString="0" containsBlank="1">
        <m/>
      </sharedItems>
    </cacheField>
    <cacheField name="Column 1" numFmtId="0">
      <sharedItems containsBlank="1">
        <m/>
        <s v="  "/>
      </sharedItems>
    </cacheField>
    <cacheField name="Column 20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472" sheet="Form Responses 1"/>
  </cacheSource>
  <cacheFields>
    <cacheField name="Timestamp">
      <sharedItems containsDate="1" containsBlank="1" containsMixedTypes="1">
        <d v="2026-07-01T20:36:15Z"/>
        <d v="2026-07-02T17:12:04Z"/>
        <d v="2026-07-03T20:52:33Z"/>
        <d v="2026-07-06T11:59:24Z"/>
        <d v="2026-07-06T12:03:59Z"/>
        <d v="2026-07-06T19:51:38Z"/>
        <d v="2026-07-07T18:15:23Z"/>
        <d v="2026-06-30T19:34:13Z"/>
        <d v="2026-07-02T11:17:14Z"/>
        <d v="2026-07-03T14:19:15Z"/>
        <d v="2026-07-02T18:02:42Z"/>
        <d v="2026-07-03T19:33:22Z"/>
        <d v="2026-07-06T12:01:01Z"/>
        <d v="2026-07-06T19:51:56Z"/>
        <d v="2026-07-07T21:50:42Z"/>
        <d v="2026-06-30T17:13:39Z"/>
        <d v="2026-07-01T18:08:06Z"/>
        <d v="2026-07-02T16:00:25Z"/>
        <d v="2026-07-03T17:33:09Z"/>
        <d v="2026-07-06T09:11:50Z"/>
        <d v="2026-07-06T16:04:57Z"/>
        <d v="2026-07-07T16:33:26Z"/>
        <d v="2026-07-02T18:17:52Z"/>
        <d v="2026-07-03T20:59:31Z"/>
        <d v="2026-07-06T09:06:10Z"/>
        <d v="2026-07-06T21:25:13Z"/>
        <d v="2026-07-07T18:40:06Z"/>
        <d v="2026-06-29T20:01:56Z"/>
        <d v="2026-06-30T18:47:22Z"/>
        <d v="2026-07-01T19:06:15Z"/>
        <d v="2026-07-02T19:40:10Z"/>
        <d v="2026-07-03T19:40:01Z"/>
        <d v="2026-07-07T16:43:09Z"/>
        <d v="2026-07-07T16:46:17Z"/>
        <d v="2026-07-07T16:49:31Z"/>
        <d v="2026-07-01T22:12:10Z"/>
        <d v="2026-07-02T20:25:24Z"/>
        <d v="2026-07-03T22:31:13Z"/>
        <d v="2026-07-06T12:58:58Z"/>
        <d v="2026-07-06T15:09:31Z"/>
        <d v="2026-07-06T22:54:05Z"/>
        <d v="2026-07-01T19:48:18Z"/>
        <d v="2026-07-03T16:12:19Z"/>
        <d v="2026-07-06T09:28:44Z"/>
        <d v="2026-07-06T16:53:08Z"/>
        <d v="2026-07-07T15:49:37Z"/>
        <d v="2026-07-02T09:26:07Z"/>
        <d v="2026-07-03T20:30:31Z"/>
        <d v="2026-07-06T09:34:34Z"/>
        <d v="2026-07-06T21:34:07Z"/>
        <d v="2026-07-07T22:05:23Z"/>
        <d v="2026-07-01T22:00:31Z"/>
        <d v="2026-07-02T16:23:34Z"/>
        <d v="2026-07-03T16:23:55Z"/>
        <d v="2026-07-07T20:56:27Z"/>
        <d v="2026-06-29T18:00:16Z"/>
        <d v="2026-06-30T17:52:37Z"/>
        <d v="2026-07-01T19:04:06Z"/>
        <d v="2026-07-02T19:11:24Z"/>
        <d v="2026-07-06T08:57:04Z"/>
        <d v="2026-07-06T19:37:43Z"/>
        <d v="2026-07-07T22:39:10Z"/>
        <d v="2026-06-29T21:29:39Z"/>
        <d v="2026-06-30T23:05:12Z"/>
        <d v="2026-07-01T21:26:46Z"/>
        <d v="2026-07-02T22:54:07Z"/>
        <d v="2026-07-03T22:54:52Z"/>
        <d v="2026-07-06T22:22:07Z"/>
        <d v="2026-07-06T09:16:37Z"/>
        <d v="2026-07-07T22:10:39Z"/>
        <d v="2026-06-24T16:19:15Z"/>
        <d v="2026-06-25T17:53:24Z"/>
        <d v="2026-06-26T18:58:00Z"/>
        <d v="2026-06-27T20:23:01Z"/>
        <d v="2026-06-29T20:25:24Z"/>
        <d v="2026-06-30T20:11:42Z"/>
        <d v="2026-06-23T18:53:28Z"/>
        <d v="2026-06-24T19:33:04Z"/>
        <d v="2026-06-28T23:54:09Z"/>
        <d v="2026-06-29T22:30:54Z"/>
        <d v="2026-06-30T20:56:48Z"/>
        <d v="2026-07-06T22:10:12Z"/>
        <d v="2026-07-06T22:15:59Z"/>
        <d v="2026-07-06T22:51:17Z"/>
        <d v="2026-06-25T22:30:52Z"/>
        <d v="2026-06-26T23:50:05Z"/>
        <d v="2026-06-27T23:21:31Z"/>
        <d v="2026-07-02T23:18:25Z"/>
        <d v="2026-07-03T19:03:29Z"/>
        <d v="2026-07-08T00:02:21Z"/>
        <d v="2026-06-25T23:08:00Z"/>
        <d v="2026-06-26T14:33:39Z"/>
        <d v="2026-06-28T01:22:01Z"/>
        <d v="2026-06-27T22:38:28Z"/>
        <d v="2026-06-28T22:49:46Z"/>
        <d v="2026-07-01T20:12:42Z"/>
        <d v="2026-07-02T20:39:19Z"/>
        <d v="2026-07-03T19:32:07Z"/>
        <d v="2026-07-06T18:48:46Z"/>
        <d v="2026-07-06T20:58:21Z"/>
        <d v="2026-07-07T21:14:50Z"/>
        <d v="2026-07-07T22:36:27Z"/>
        <d v="2026-06-30T21:16:34Z"/>
        <d v="2026-07-01T20:49:55Z"/>
        <d v="2026-07-02T18:28:35Z"/>
        <d v="2026-07-06T19:39:22Z"/>
        <d v="2026-07-06T23:11:57Z"/>
        <d v="2026-07-07T18:17:35Z"/>
        <d v="2026-07-06T18:06:28Z"/>
        <d v="2026-07-07T17:46:59Z"/>
        <d v="2026-07-06T14:01:32Z"/>
        <d v="2026-07-06T19:53:52Z"/>
        <d v="2026-07-06T20:00:42Z"/>
        <d v="2026-07-06T22:37:51Z"/>
        <d v="2026-07-07T18:04:07Z"/>
        <d v="2026-07-01T17:22:26Z"/>
        <d v="2026-07-02T17:23:42Z"/>
        <d v="2026-07-03T18:20:10Z"/>
        <d v="2026-07-06T09:10:25Z"/>
        <d v="2026-07-07T23:26:56Z"/>
        <d v="2026-07-07T23:29:36Z"/>
        <d v="2026-06-24T12:24:57Z"/>
        <d v="2026-06-24T22:14:14Z"/>
        <d v="2026-06-25T21:44:12Z"/>
        <d v="2026-06-26T20:58:24Z"/>
        <d v="2026-06-27T22:16:04Z"/>
        <d v="2026-06-29T21:34:31Z"/>
        <d v="2026-06-30T21:56:08Z"/>
        <d v="2026-07-01T21:13:30Z"/>
        <d v="2026-07-03T02:18:29Z"/>
        <d v="2026-07-04T06:28:58Z"/>
        <d v="2026-07-06T13:51:28Z"/>
        <d v="2026-07-06T21:34:31Z"/>
        <d v="2026-07-07T22:41:03Z"/>
        <d v="2026-06-30T16:02:41Z"/>
        <d v="2026-07-01T16:58:54Z"/>
        <d v="2026-07-02T16:02:05Z"/>
        <d v="2026-07-03T16:01:29Z"/>
        <d v="2026-07-04T16:12:15Z"/>
        <d v="2026-07-06T16:39:33Z"/>
        <d v="2026-07-07T16:33:49Z"/>
        <d v="2026-06-30T22:45:22Z"/>
        <d v="2026-06-27T22:30:54Z"/>
        <d v="2026-06-28T22:15:54Z"/>
        <d v="2026-06-29T22:20:44Z"/>
        <d v="2026-06-30T22:50:39Z"/>
        <d v="2026-07-01T22:59:38Z"/>
        <d v="2026-07-03T00:24:38Z"/>
        <d v="2026-07-03T23:47:30Z"/>
        <d v="2026-07-07T07:45:11Z"/>
        <d v="2026-07-07T07:51:54Z"/>
        <d v="2026-07-07T07:56:26Z"/>
        <d v="2026-07-07T22:46:54Z"/>
        <d v="2026-07-01T21:38:44Z"/>
        <d v="2026-07-02T20:18:11Z"/>
        <d v="2026-07-03T21:23:55Z"/>
        <d v="2026-07-06T14:50:21Z"/>
        <d v="2026-07-06T23:36:12Z"/>
        <d v="2026-06-30T17:18:19Z"/>
        <d v="2026-07-07T21:39:05Z"/>
        <d v="2026-06-30T17:50:26Z"/>
        <d v="2026-06-23T22:30:50Z"/>
        <d v="2026-06-24T22:28:49Z"/>
        <d v="2026-06-25T22:44:21Z"/>
        <d v="2026-06-27T22:59:30Z"/>
        <d v="2026-06-30T22:47:39Z"/>
        <d v="2026-06-30T22:53:36Z"/>
        <d v="2026-07-01T20:46:33Z"/>
        <d v="2026-07-03T22:45:08Z"/>
        <d v="2026-07-03T22:51:31Z"/>
        <d v="2026-07-06T22:36:48Z"/>
        <d v="2026-07-07T08:17:35Z"/>
        <d v="2026-07-07T22:48:34Z"/>
        <d v="2026-07-02T20:09:24Z"/>
        <d v="2026-06-30T19:05:25Z"/>
        <d v="2026-06-30T21:28:54Z"/>
        <d v="2026-07-01T22:09:40Z"/>
        <d v="2026-07-03T23:59:14Z"/>
        <d v="2026-07-06T09:17:48Z"/>
        <d v="2026-07-07T00:06:45Z"/>
        <d v="2026-07-07T23:24:20Z"/>
        <d v="2026-06-29T18:15:11Z"/>
        <d v="2026-07-06T21:21:23Z"/>
        <d v="2026-06-25T21:42:11Z"/>
        <d v="2026-06-26T19:20:09Z"/>
        <d v="2026-06-27T15:55:00Z"/>
        <d v="2026-06-30T21:32:06Z"/>
        <d v="2026-07-01T21:15:34Z"/>
        <d v="2026-07-02T19:15:42Z"/>
        <d v="2026-07-03T18:34:24Z"/>
        <d v="2026-07-06T15:30:29Z"/>
        <d v="2026-07-07T21:43:50Z"/>
        <d v="2026-07-01T22:12:47Z"/>
        <d v="2026-07-02T17:36:43Z"/>
        <d v="2026-07-03T19:57:55Z"/>
        <d v="2026-07-06T14:32:28Z"/>
        <d v="2026-07-06T19:35:32Z"/>
        <d v="2026-07-07T20:30:02Z"/>
        <d v="2026-06-29T17:14:27Z"/>
        <d v="2026-07-01T19:24:04Z"/>
        <d v="2026-07-02T22:25:36Z"/>
        <d v="2026-07-03T21:09:41Z"/>
        <d v="2026-07-04T17:13:33Z"/>
        <d v="2026-07-06T11:15:56Z"/>
        <d v="2026-07-06T18:58:59Z"/>
        <d v="2026-07-01T17:59:41Z"/>
        <d v="2026-07-03T06:41:57Z"/>
        <d v="2026-07-06T22:16:04Z"/>
        <d v="2026-06-29T18:38:22Z"/>
        <d v="2026-06-30T15:56:12Z"/>
        <d v="2026-07-01T17:51:34Z"/>
        <d v="2026-07-02T16:15:08Z"/>
        <d v="2026-07-03T16:05:37Z"/>
        <d v="2026-07-06T09:29:55Z"/>
        <d v="2026-07-06T16:29:16Z"/>
        <d v="2026-07-07T16:34:29Z"/>
        <d v="2026-06-22T17:56:39Z"/>
        <d v="2026-06-23T21:14:48Z"/>
        <d v="2026-06-24T19:59:31Z"/>
        <d v="2026-06-24T20:03:56Z"/>
        <d v="2026-06-26T10:39:24Z"/>
        <d v="2026-06-27T08:43:44Z"/>
        <d v="2026-06-28T21:40:40Z"/>
        <d v="2026-06-29T22:33:56Z"/>
        <d v="2026-06-30T22:56:10Z"/>
        <d v="2026-07-02T00:40:59Z"/>
        <d v="2026-07-02T21:41:46Z"/>
        <d v="2026-07-03T23:16:55Z"/>
        <d v="2026-07-06T09:22:34Z"/>
        <d v="2026-07-06T22:36:15Z"/>
        <d v="2026-07-07T22:19:10Z"/>
        <d v="2026-06-30T23:02:51Z"/>
        <d v="2026-06-30T23:06:01Z"/>
        <d v="2026-07-01T23:33:26Z"/>
        <d v="2026-07-02T23:27:56Z"/>
        <d v="2026-07-06T13:35:01Z"/>
        <d v="2026-07-04T01:03:34Z"/>
        <d v="2026-06-23T22:19:46Z"/>
        <d v="2026-06-28T16:20:14Z"/>
        <d v="2026-06-28T16:28:12Z"/>
        <d v="2026-06-29T17:50:12Z"/>
        <d v="2026-06-29T17:57:05Z"/>
        <d v="2026-06-30T10:41:09Z"/>
        <d v="2026-07-01T12:08:05Z"/>
        <d v="2026-07-06T09:41:23Z"/>
        <d v="2026-07-06T22:47:36Z"/>
        <d v="2026-07-07T22:43:42Z"/>
        <d v="2026-07-03T20:31:28Z"/>
        <d v="2026-06-30T16:39:40Z"/>
        <d v="2026-07-01T17:37:30Z"/>
        <d v="2026-07-02T21:08:37Z"/>
        <d v="2026-07-07T21:12:38Z"/>
        <d v="2026-07-02T17:57:10Z"/>
        <d v="2026-07-03T17:53:30Z"/>
        <d v="2026-07-06T11:54:56Z"/>
        <d v="2026-07-06T20:00:52Z"/>
        <d v="2026-07-07T23:36:50Z"/>
        <d v="2026-06-29T21:50:39Z"/>
        <d v="2026-06-30T21:54:51Z"/>
        <d v="2026-07-01T22:01:22Z"/>
        <d v="2026-07-03T21:43:11Z"/>
        <d v="2026-07-07T20:08:39Z"/>
        <d v="2026-06-25T22:00:23Z"/>
        <d v="2026-06-27T00:52:22Z"/>
        <d v="2026-06-29T00:53:03Z"/>
        <d v="2026-06-30T11:00:48Z"/>
        <d v="2026-07-02T22:44:08Z"/>
        <d v="2026-07-07T10:53:05Z"/>
        <d v="2026-07-07T22:59:53Z"/>
        <d v="2026-07-07T17:20:03Z"/>
        <d v="2026-06-29T20:41:00Z"/>
        <d v="2026-06-30T16:36:46Z"/>
        <d v="2026-07-01T18:33:18Z"/>
        <d v="2026-07-02T17:06:16Z"/>
        <d v="2026-07-06T09:29:44Z"/>
        <d v="2026-07-07T17:00:48Z"/>
        <d v="2026-07-06T09:03:32Z"/>
        <d v="2026-06-29T17:11:24Z"/>
        <d v="2026-06-30T16:38:58Z"/>
        <d v="2026-07-01T17:36:35Z"/>
        <d v="2026-07-02T17:34:57Z"/>
        <d v="2026-07-03T19:04:40Z"/>
        <d v="2026-07-06T17:23:56Z"/>
        <d v="2026-07-07T18:03:52Z"/>
        <d v="2026-06-22T13:55:02Z"/>
        <d v="2026-06-23T21:35:42Z"/>
        <d v="2026-06-24T19:31:09Z"/>
        <d v="2026-06-25T20:17:36Z"/>
        <d v="2026-06-27T18:41:26Z"/>
        <d v="2026-06-27T18:44:18Z"/>
        <d v="2026-06-30T21:27:33Z"/>
        <d v="2026-06-30T21:30:08Z"/>
        <d v="2026-07-02T17:38:36Z"/>
        <d v="2026-07-02T17:42:57Z"/>
        <d v="2026-07-04T17:31:25Z"/>
        <d v="2026-07-07T08:14:15Z"/>
        <d v="2026-07-07T08:17:49Z"/>
        <d v="2026-07-07T08:20:40Z"/>
        <d v="2026-07-07T20:21:07Z"/>
        <d v="2026-07-01T20:06:16Z"/>
        <d v="2026-07-06T19:41:58Z"/>
        <d v="2026-07-06T20:15:39Z"/>
        <d v="2026-07-03T20:46:44Z"/>
        <d v="2026-07-03T20:53:25Z"/>
        <d v="2026-07-06T09:45:16Z"/>
        <d v="2026-07-06T18:21:57Z"/>
        <d v="2026-06-23T18:55:07Z"/>
        <d v="2026-06-25T00:11:08Z"/>
        <d v="2026-06-26T05:24:21Z"/>
        <d v="2026-06-26T17:27:25Z"/>
        <d v="2026-06-28T11:06:37Z"/>
        <d v="2026-06-30T08:25:00Z"/>
        <d v="2026-06-30T19:51:34Z"/>
        <d v="2026-07-01T18:03:57Z"/>
        <d v="2026-07-02T20:33:27Z"/>
        <d v="2026-07-07T19:47:05Z"/>
        <d v="2026-06-23T21:11:00Z"/>
        <d v="2026-06-24T22:05:28Z"/>
        <d v="2026-06-25T21:13:48Z"/>
        <d v="2026-06-26T19:10:36Z"/>
        <d v="2026-06-27T21:29:59Z"/>
        <d v="2026-06-29T21:36:19Z"/>
        <d v="2026-06-30T18:10:07Z"/>
        <d v="2026-07-01T20:57:56Z"/>
        <d v="2026-07-02T18:23:49Z"/>
        <d v="2026-07-03T19:16:59Z"/>
        <d v="2026-07-06T10:05:50Z"/>
        <d v="2026-07-06T20:45:23Z"/>
        <d v="2026-07-07T17:58:40Z"/>
        <d v="2026-07-02T21:36:47Z"/>
        <d v="2026-07-03T22:22:46Z"/>
        <d v="2026-07-06T23:36:40Z"/>
        <d v="2026-07-07T00:00:40Z"/>
        <d v="2026-07-07T23:33:53Z"/>
        <d v="2026-07-08T15:15:49Z"/>
        <d v="2026-07-08T15:25:36Z"/>
        <d v="2026-07-08T15:35:22Z"/>
        <d v="2026-07-08T15:45:17Z"/>
        <d v="2026-07-08T16:09:30Z"/>
        <d v="2026-07-08T17:04:08Z"/>
        <d v="2026-07-08T17:35:30Z"/>
        <d v="2026-07-08T18:21:01Z"/>
        <d v="2026-07-08T18:40:47Z"/>
        <d v="2026-07-08T18:44:51Z"/>
        <d v="2026-07-08T18:52:03Z"/>
        <d v="2026-07-08T18:55:13Z"/>
        <d v="2026-07-08T19:01:24Z"/>
        <d v="2026-07-08T19:02:05Z"/>
        <d v="2026-07-08T19:08:36Z"/>
        <d v="2026-07-08T19:18:30Z"/>
        <d v="2026-07-08T19:18:39Z"/>
        <d v="2026-07-08T19:46:50Z"/>
        <d v="2026-07-08T19:47:31Z"/>
        <d v="2026-07-08T19:53:25Z"/>
        <d v="2026-07-08T19:54:23Z"/>
        <d v="2026-07-08T19:58:52Z"/>
        <d v="2026-07-08T20:09:42Z"/>
        <d v="2026-07-08T20:48:29Z"/>
        <s v="Timestamp"/>
        <m/>
      </sharedItems>
    </cacheField>
    <cacheField name="Hari &amp; Tanggal">
      <sharedItems containsDate="1" containsBlank="1" containsMixedTypes="1">
        <d v="2026-07-01T00:00:00Z"/>
        <d v="2026-07-02T00:00:00Z"/>
        <d v="2026-07-03T00:00:00Z"/>
        <d v="2026-07-04T00:00:00Z"/>
        <d v="2026-07-05T00:00:00Z"/>
        <d v="2026-07-06T00:00:00Z"/>
        <d v="2026-07-07T00:00:00Z"/>
        <d v="2026-06-30T00:00:00Z"/>
        <d v="2026-06-29T00:00:00Z"/>
        <d v="2026-06-24T00:00:00Z"/>
        <d v="2026-06-25T00:00:00Z"/>
        <d v="2026-06-26T00:00:00Z"/>
        <d v="2026-06-27T00:00:00Z"/>
        <d v="2026-06-23T00:00:00Z"/>
        <d v="2026-06-28T00:00:00Z"/>
        <d v="1985-12-27T00:00:00Z"/>
        <d v="2026-06-22T00:00:00Z"/>
        <d v="2026-07-30T00:00:00Z"/>
        <d v="2000-05-30T00:00:00Z"/>
        <d v="2026-07-08T00:00:00Z"/>
        <s v="Hari &amp; Tanggal"/>
        <m/>
      </sharedItems>
    </cacheField>
    <cacheField name="Region" numFmtId="0">
      <sharedItems containsBlank="1">
        <s v="East Java (Jatim)"/>
        <s v="Central Java (Jateng)"/>
        <s v="Bali Nusra"/>
        <s v="Region"/>
        <m/>
      </sharedItems>
    </cacheField>
    <cacheField name="Area Penempatan" numFmtId="0">
      <sharedItems containsBlank="1">
        <s v="Surabaya"/>
        <s v="Malang"/>
        <s v="Semarang"/>
        <s v="Jember"/>
        <s v="Yogyakarta"/>
        <s v="Solo"/>
        <s v="Sleman"/>
        <s v="Singaraja"/>
        <s v="Gianyar"/>
        <s v="Denpasar"/>
        <s v="Area Penempatan"/>
        <m/>
      </sharedItems>
    </cacheField>
    <cacheField name="Nama Promotor" numFmtId="0">
      <sharedItems containsBlank="1">
        <s v="Adit"/>
        <s v="aulia farah "/>
        <s v="Bagus Nurul Khamid"/>
        <s v="Destya Kamilia"/>
        <s v="Devi kumala novianti"/>
        <s v="Dewi Kumalasari "/>
        <s v="Dimas"/>
        <s v="Dina Anita Veronica"/>
        <s v="Dinda Nur Afifa"/>
        <s v="Eka"/>
        <s v="Emillia"/>
        <s v="Endah Widowati"/>
        <s v="Erlis Krisnawati"/>
        <s v="Eva diana"/>
        <s v="Fandi Ahmad"/>
        <s v="Fira Daniarsa putri"/>
        <s v="Ganis Ghaniyy Rohim "/>
        <s v="Hasjuliana "/>
        <s v="Ika Isnaini"/>
        <s v="Ika Mayestika"/>
        <s v="Keiky Junieta"/>
        <s v="Lia Kurniawaty "/>
        <s v="Lubna intan fadhilah"/>
        <s v="M Mikail Azka (Kaka)"/>
        <s v="Miranda Putri Patrisia"/>
        <s v="Natalia Rizki Aria Wijaya "/>
        <s v="NEHA NAURA HERWIN"/>
        <s v="Ni Kadek Novik Resya Putri"/>
        <s v="Nia Febriyanti"/>
        <s v="NOOR ROOFI JUNMANTINI"/>
        <s v="Nurul Hidayah"/>
        <s v="Predika Tri Aditya "/>
        <s v="Putri"/>
        <s v="Rafi Sabilillah"/>
        <s v="Rebeka tiara busono"/>
        <s v="resita putri anggraini"/>
        <s v="Ika Prawitasari"/>
        <s v="Rheiza"/>
        <s v="Rizky pratama dewi"/>
        <s v="Ryan shobwatur rizal"/>
        <s v="Septy maulida ( sely )"/>
        <s v="Sugiyanti "/>
        <s v="SYAHRUL HADI MAULANA"/>
        <s v="Tasya Intan Maharani "/>
        <s v="Tiara Putri Ramadhani "/>
        <s v="Ulfa Faizatul Laily"/>
        <s v="Vian Erviana Reilyani"/>
        <s v="Viantrini"/>
        <s v="vina lailatul"/>
        <s v="Zazha Adelia Soetikno"/>
        <s v="Zumalia Suci Retnowati "/>
        <s v="Imanuel Levi"/>
        <s v="Nama Promotor"/>
        <m/>
      </sharedItems>
    </cacheField>
    <cacheField name="Nama Outlet" numFmtId="0">
      <sharedItems containsBlank="1">
        <s v="Axoo Cell"/>
        <s v="Axoo"/>
        <s v="joker cell"/>
        <s v="King Tronik 2"/>
        <s v="Area semarang selatan"/>
        <s v="Prasanjaya"/>
        <s v="Prasanjaya Oulet"/>
        <s v="Semarang"/>
        <s v="Aristo"/>
        <s v="Aristo cell"/>
        <s v="Gazwah 2"/>
        <s v="Gazwah 2 "/>
        <s v="Savira cell"/>
        <s v="UMY"/>
        <s v="Java Cell"/>
        <s v="Nirmala Cell "/>
        <s v="-"/>
        <s v="BMC CELL"/>
        <s v="S5"/>
        <s v="S5 Jojoran"/>
        <s v="Gowes Cell"/>
        <s v="mox cell"/>
        <s v="Prasanjaya Cell"/>
        <s v="Event Workshop Gemini AI at Univ STIE MALANG KUCECWARA"/>
        <s v="Prasanjaya Cell &amp; Univ BRAWIJAYA"/>
        <s v="Prasanjaya Cell ,Univ Brawijaya , Univ Malang Kucecwara"/>
        <s v="Avoraya cell dan Univ Brawijaya"/>
        <s v="Puskrip "/>
        <s v="Puskrip"/>
        <s v="Gowes card"/>
        <s v="Gowes card "/>
        <s v="upn "/>
        <s v="Area kampus Jogja "/>
        <s v="Jogja"/>
        <s v="Lets go card"/>
        <s v="Amos cell"/>
        <s v="SPY cell "/>
        <s v="Semesta Cell"/>
        <s v="Go green"/>
        <s v="Goo green UII "/>
        <s v="Wifi cell"/>
        <s v="Amos"/>
        <s v="Putra Voucher"/>
        <s v="Nirmala Cell"/>
        <s v="Nirmalla cell"/>
        <s v="Malioboro"/>
        <s v="Edgar cell"/>
        <s v="Altar"/>
        <s v="Kampus ISI &amp; Kampus PGRI"/>
        <s v="Malioboro "/>
        <s v="Kampus ISI "/>
        <s v="Kampus UAD "/>
        <s v="Kampus PGRI"/>
        <s v="XT Square "/>
        <s v="Kampus PGRI "/>
        <s v="Nafiri pom"/>
        <s v="hi bizz"/>
        <s v="nafiri"/>
        <s v="Tuedi cell"/>
        <s v="SKA CELL"/>
        <s v="DNA UMY"/>
        <s v="Hibizz"/>
        <s v="Graha Komunika"/>
        <s v="Graha Komunika "/>
        <s v="HI-BIZZ"/>
        <s v="Event Seminar kampus Polines "/>
        <s v="Mitra Cell"/>
        <s v="Blitz sekitar Kampus Udinus"/>
        <s v="Event Seminar AI kampus Universitas Dian Nuswantoro (UDINUS)"/>
        <s v="Avoraya cell "/>
        <s v="WK CELL"/>
        <s v="Kampus uty "/>
        <s v="Gazwah 1"/>
        <s v="AGUDIA Cell"/>
        <s v="AGUDIACell"/>
        <s v="Dominan"/>
        <s v="Dominan cell"/>
        <s v="Abiyu cell"/>
        <s v="TFT cell"/>
        <s v="Susan cell"/>
        <s v="Public Cell"/>
        <s v="Kampus ISI dan sekitarnya "/>
        <s v="Kampus janabadra dan sekitarnya "/>
        <s v="GGS"/>
        <s v="GANTENG GANTENG SELULER"/>
        <s v="Jogja Card "/>
        <s v="Bionic cell"/>
        <s v="Bionic Cell "/>
        <s v="Jogja card"/>
        <s v="Giga data"/>
        <s v="Micron cell"/>
        <s v="Micron"/>
        <s v="Micron cell "/>
        <s v="Event seminar polines"/>
        <s v="Putra mandiri cell"/>
        <s v="Kimo cell"/>
        <s v="Kimo cell "/>
        <s v="President Cell"/>
        <s v="Nama Outlet"/>
        <s v="King Tronik 3"/>
        <m/>
      </sharedItems>
    </cacheField>
    <cacheField name="Upload Foto Kehadiran dengan Time Stamp (untuk Bukti Kehadiran)" numFmtId="0">
      <sharedItems containsBlank="1">
        <s v="https://drive.google.com/open?id=1ccOL6O0qsZ-h7GEBmipzs5VF9_fU9UdS"/>
        <s v="https://drive.google.com/open?id=1pP1PFCL5MvYSTvJesoC3RTaMulxyzc1Y"/>
        <s v="https://drive.google.com/open?id=1kmvtKpGqoZS-l2lGYqb5Kt_uG3Vhv2WQ"/>
        <s v="https://drive.google.com/open?id=10Giv1XZ8ISnD-FUHIKK2O2xsauGpe6XE"/>
        <s v="https://drive.google.com/open?id=1RlOpJEm8ofct5timSYMFlt1rNSX0aXBA"/>
        <s v="https://drive.google.com/open?id=1d0LsUXNfizhT_DdhdXZ7lgxDX6QWEaAQ"/>
        <s v="https://drive.google.com/open?id=10HznNW7UBxz1q8l_1rTim23LX_on83jv"/>
        <s v="https://drive.google.com/open?id=1YFeZ9gk3zAR2gUqvBJfb37HYXITqOVpF"/>
        <s v="https://drive.google.com/open?id=1b7aGPzXPgZFexnXlOQEijf5iNBo2urSv"/>
        <s v="https://drive.google.com/open?id=1O9TF1e9NajKkRGH5gYb7ki7V7mfzyvYe"/>
        <s v="https://drive.google.com/open?id=1ptFOwcEdsuaE1u-5NPTnrCs41k4xrhBB"/>
        <s v="https://drive.google.com/open?id=1qOeb0Ri8k3_YJkeo0VbCslkOevyzc_GL"/>
        <s v="https://drive.google.com/open?id=1VMd7uuzPN2QaEQcLnYsdCKKawxrlGuYa"/>
        <s v="https://drive.google.com/open?id=1UJQ9sVOvviMHO9KVx53aMmBz0ahMwMle"/>
        <s v="https://drive.google.com/open?id=1ozmAyV4Jq4laNpo_e5TTCBw_g6ALDJTI"/>
        <s v="https://drive.google.com/open?id=15XLaHVT6344HbUUaU_tpfvFghPuvsmUP"/>
        <s v="https://drive.google.com/open?id=1DFBoH9NuybQZwxveJC_4MugC_F5gERtv"/>
        <s v="https://drive.google.com/open?id=1GFyMwR3g2m-Z9cjc9mj8XguaIMtTD8Uq"/>
        <s v="https://drive.google.com/open?id=1YS-bxN-l0wxy33THHQ1Njc1z44Vjamr5"/>
        <s v="https://drive.google.com/open?id=1ILj8WFkbiFAkzvXMcnai-1kNec63olJA"/>
        <s v="https://drive.google.com/open?id=1MSxlbdyuZRtctdDNY0ZAlXE2b44KCllF"/>
        <s v="https://drive.google.com/open?id=1_hToEA1MgSx59SjZzDEVoxck553nYlL5"/>
        <s v="https://drive.google.com/open?id=1ufday6VpH6jJ70WIqK5up39BEXtzv0N8"/>
        <s v="https://drive.google.com/open?id=1lBkuIKFCxm_sAhGnmHmfWF-nru43w09m"/>
        <s v="https://drive.google.com/open?id=1FjnT-WpWKcJzizec_ndC-TylHrf29yLZ"/>
        <s v="https://drive.google.com/open?id=1nwf9lwZ_QWifA_q7qhneOgB4c-AoKu07"/>
        <s v="https://drive.google.com/open?id=1ven4XjWfV0fnB_eQFalUE6qv49u-kp3-"/>
        <s v="https://drive.google.com/open?id=1v-PJACEVbuCV5VY1UV_QEQN4VN9oZ7AR"/>
        <s v="https://drive.google.com/open?id=1huLYprj-tZHTe50pcEVu-CAOvGvrqUpl"/>
        <s v="https://drive.google.com/open?id=1B8chfwGowqW0GnGzLoaKq7s4D3g1KwnK"/>
        <s v="https://drive.google.com/open?id=1u9KDnHadq3oKrAfIt4AOPRUvJof8y3Nw"/>
        <s v="https://drive.google.com/open?id=11Nn5pWSfXAs0bEKQyU07oI83GpcudPPc"/>
        <s v="https://drive.google.com/open?id=1SU9hnyve91ubwMLoUZemARU92LctEePD"/>
        <s v="https://drive.google.com/open?id=1trOpM8KfN-i2s1mguF84SGOMmAa43Esg"/>
        <s v="https://drive.google.com/open?id=1kIgMuWBIYGD2FaP2k5DNFw2P3UFggCyl"/>
        <s v="https://drive.google.com/open?id=1NOv6eQ0iclyH2l4RqOorojd8_Zo9Qatl"/>
        <s v="https://drive.google.com/open?id=1I7MdHDcuRhN662oK94dWv-NQAOgVMvE8"/>
        <s v="https://drive.google.com/open?id=1-brV3os7kzsupGug6mC9Ympi42psBX49"/>
        <s v="https://drive.google.com/open?id=1daU6twRF75vMguIfPJWXcptez0_crZcg"/>
        <s v="https://drive.google.com/open?id=1x7bW647GnBi2HQPcYQqYNzTaLsbxnPtF"/>
        <s v="https://drive.google.com/open?id=12DlQ2a7OEvISY7BH-qL-w7k3Yh_iWi6D"/>
        <s v="https://drive.google.com/open?id=1W-ejAyWKgUzZAZ-VMskbWyCUFJsFOQTr"/>
        <s v="https://drive.google.com/open?id=1UodWyzc6UhpKOXEyKe_eMr6rpfxw_Pwi"/>
        <s v="https://drive.google.com/open?id=16xBqMqG17sjxjoik9vlMG0oDS6G2jMv4"/>
        <s v="https://drive.google.com/open?id=14xZAV3mC1Cf3HFIsVPmW2jMGb05A8ANk"/>
        <s v="https://drive.google.com/open?id=1DlcAe8wcNXql6PnoUnWSUVAcPOpy8mOY"/>
        <s v="https://drive.google.com/open?id=1NHwLXN7GbMNrUJJVy9-91HXCXJ1pbbpz"/>
        <s v="https://drive.google.com/open?id=1leSLW_SOKpWhSFQsWf2Gu3K0X404BwQQ"/>
        <s v="https://drive.google.com/open?id=1AtwdQjm25aHxyRgkxye_irZkHEKflYQm"/>
        <s v="https://drive.google.com/open?id=1hcVTrO7xvWulYjTjUhMqnzwccWmS7MZJ"/>
        <s v="https://drive.google.com/open?id=1FbVixRolCBNcSx_EpRVbZqQKt7rpGJQn"/>
        <s v="https://drive.google.com/open?id=1auIopl0M8vvF88YpMQ_FEElDNhDpZbiZ"/>
        <s v="https://drive.google.com/open?id=1iAf9UfuW837RnXojKgUkv7NSmPPQDxxZ"/>
        <s v="https://drive.google.com/open?id=1EImRpIWy9rKuDwDGa8ekB_I3kSZ54inQ"/>
        <s v="https://drive.google.com/open?id=1ajig0nKWirL5XQUSVKS3c9IovaUvtfxR"/>
        <s v="https://drive.google.com/open?id=1GZS5x_cuhloaej9bqkKcRlgOWCkwPdYv"/>
        <s v="https://drive.google.com/open?id=1QlfYDJfFEPfvisefEqRaT6m7J68ERb8l"/>
        <s v="https://drive.google.com/open?id=1Lz0ZEajq5LPWE7tMfeJzCBk7xs9kkW03"/>
        <s v="https://drive.google.com/open?id=1cD9zV9wqFDWPEaqwd2kmo9XjKu4uEQ88"/>
        <s v="https://drive.google.com/open?id=1M7lTLmVqErvUfpixp2tuiJsNndpoqqzY"/>
        <s v="https://drive.google.com/open?id=1cuCbVVWOugphrES-FMjck7jg0CytObuW"/>
        <s v="https://drive.google.com/open?id=1pMSF0X4WST5emaW25PnS9qX9asJgYHDz"/>
        <s v="https://drive.google.com/open?id=1ZtkyDxA9YB0wFQyVO_AW2rjrnU9YYOo4"/>
        <s v="https://drive.google.com/open?id=1qSUXtCNARYgM4WyaC8RAAKnj4tTjY45n"/>
        <s v="https://drive.google.com/open?id=1lpIEL5KQJn-6cSgO-c_R5b2BkU1aWyfF"/>
        <s v="https://drive.google.com/open?id=1JtslwcqIab8WBg3fSu0RqopGxwow6tjd"/>
        <s v="https://drive.google.com/open?id=1ckV_I_bRynVWOWFV37jCEgr8amAzilhf"/>
        <s v="https://drive.google.com/open?id=1zZBHH_f_8XBmCNajlnSB7e5Ep5rUqLp8"/>
        <s v="https://drive.google.com/open?id=1H5CiXdZXI_K0TmQi1ehbmyNCc2UCcOKD"/>
        <s v="https://drive.google.com/open?id=11aryR-8krlxzY6_0xtHYpd6T4iKadX1_"/>
        <s v="https://drive.google.com/open?id=1dyjPFFRBsRMIXBa0JLNrcjmYIgI8wMNl"/>
        <s v="https://drive.google.com/open?id=1dNITfnD8xHpGuoqEQ2blpmRQfVtzqciQ"/>
        <s v="https://drive.google.com/open?id=1f1jiw1EW67xE7i7BGzSro8dzvwqRPnnL"/>
        <s v="https://drive.google.com/open?id=1WQ_USx67-uGNsIe757FJakGKM3TVZa3I"/>
        <s v="https://drive.google.com/open?id=15KOYcEYOWXc8lsHcwWCAuc9ymsfXbX-x"/>
        <s v="https://drive.google.com/open?id=1dOtCAma7cRmynD7RMBF6YSRhjroyjfs4"/>
        <s v="https://drive.google.com/open?id=1X8NHm6OPR94u4Ns-sAIlghrBkKQIBkmh"/>
        <s v="https://drive.google.com/open?id=1XjfCA75pTlWrFW-Xjr62s2OuQ2NlALmL"/>
        <s v="https://drive.google.com/open?id=1Xyuobyq5Txo_VK390oVwnqILvC1pamqd"/>
        <s v="https://drive.google.com/open?id=19JFZgR7uJyHs8BHMaIrDN1mlJaZhLjXC"/>
        <s v="https://drive.google.com/open?id=1LQY2stskx1fPUKvYdxSd604fWc5LtaDy"/>
        <s v="https://drive.google.com/open?id=1r73W9WKFESGTg9Pqx5MppddoeV6mOtFE"/>
        <s v="https://drive.google.com/open?id=1Pd6NhprzMrskSbpyFJ-nPVLFV-bgQ5J3"/>
        <s v="https://drive.google.com/open?id=1IQFLp4zTamiJOolWY-F5d7s5r7Y_PaiL"/>
        <s v="https://drive.google.com/open?id=1j5kh2rm5qGYQVvdw0P1cRtOP1Nffcqt5"/>
        <s v="https://drive.google.com/open?id=1mBRQSlmdZYdz9pmAdB0w-TRm4SYSg0Kq"/>
        <s v="https://drive.google.com/open?id=1qiFA3iYs9s889YbyYswJoBWOHFFWTcil"/>
        <s v="https://drive.google.com/open?id=1m8c5_niisgMQiaQdLlpAonzKyiA1a22B"/>
        <s v="https://drive.google.com/open?id=1zfjB29V-CgpDCFN4tx2l8xNKiPhA1VVo"/>
        <s v="https://drive.google.com/open?id=1v0-uFwfL41GeUK-SXR6Sqzf-daxbqxD6"/>
        <s v="https://drive.google.com/open?id=1ZXGEr4YX7eJ6VdytpCxtfqHHEjMi7TBx"/>
        <s v="https://drive.google.com/open?id=1PtY4QjuF0Ohcy1e5EHWNSjyeBcJ2ND4A"/>
        <s v="https://drive.google.com/open?id=1U4xWQHmovRP9qdApNl_OwLwcyUKNwdih"/>
        <s v="https://drive.google.com/open?id=1CnHubORfyWbGobY6OEn7o_VTRBFw_oJp"/>
        <s v="https://drive.google.com/open?id=1ZgaT7eecfClqSsFGYy8MQFr8GNXxUGkz"/>
        <s v="https://drive.google.com/open?id=1eKJuZoCCUGWZhR3XeZ3_Zz6irSQHPgBe"/>
        <s v="https://drive.google.com/open?id=1afrXp1GplTLUzM4xXT75WiJuoN-ngnkL"/>
        <s v="https://drive.google.com/open?id=1YhXDxouA4Zz0EqEU_4z97bkjg7FiqV5w"/>
        <s v="https://drive.google.com/open?id=1uFlaaj7Zxc-e9hjEES1loK032FCQzThs"/>
        <s v="https://drive.google.com/open?id=1VhPk_Ji8snrZnSZYF_jmtHbuakvY5EWr"/>
        <s v="https://drive.google.com/open?id=1d-7QcBr-t76Qkl_FSejTfjwHiMLiTXWe"/>
        <s v="https://drive.google.com/open?id=1x6L-chsZEj2Yp7WD5YUubAKC5NzbWe0a"/>
        <s v="https://drive.google.com/open?id=1SWdCif-MnfBtA13pb1HMZdtM0gm6-TES"/>
        <s v="https://drive.google.com/open?id=1tuvzV-7rglTeUEvf5-J1OjiRRC22Ze4q"/>
        <s v="https://drive.google.com/open?id=11R4PNwv-irrEsEPYAqs5Eq34R6xv3IhM"/>
        <s v="https://drive.google.com/open?id=1G_SqeueCQQSWLcFtrbS_la0ESJip8pNf"/>
        <s v="https://drive.google.com/open?id=1LyDye81TJygMqdey5FD-0iOKOSolo1fO"/>
        <s v="https://drive.google.com/open?id=1zJwDGGMwYsUpRdxiKXCN8Yg8WWKEEv1H"/>
        <s v="https://drive.google.com/open?id=1DPXMDyw12Z3J_IwIb1kfeQ-AM5dNdKDh"/>
        <s v="https://drive.google.com/open?id=1b41kFd2xTjAiB9Piym8yuzdCVwxZNrRo"/>
        <s v="https://drive.google.com/open?id=1UB9GD86reOnw5bwF4Cg8J5QZzmOJih3W"/>
        <s v="https://drive.google.com/open?id=1aDaFMu1zZX447EQHpJu0s5o0W5oYSAmB"/>
        <s v="https://drive.google.com/open?id=1NuLyBuYWXUUuOfg3OGz2dpkrEsEdAHDF"/>
        <s v="https://drive.google.com/open?id=1j0_0iRtsoMCYgDytQa3t6KxLz6Cfe1Na"/>
        <s v="https://drive.google.com/open?id=18TOoPvs0MrMrklZlBNke3rsSMWpSFyax"/>
        <s v="https://drive.google.com/open?id=183u35J4NvZLqa-kljkDwzL2-I1V28sp4"/>
        <s v="https://drive.google.com/open?id=1iyL_bLjQXM1WPnDM_aOLiHdckKWR6T5J"/>
        <s v="https://drive.google.com/open?id=1SQbHASMJTf-QyUXKtVRFpB1dOccs870i"/>
        <s v="https://drive.google.com/open?id=1QuOS4fhRCD9X8D-C1Nd6NUK4ldRlq3Tl"/>
        <s v="https://drive.google.com/open?id=1uMOfnHSNWOz6XXRRi1G1efZB6X-Nqy_F"/>
        <s v="https://drive.google.com/open?id=1m097LVQG6F4nO2MT2IaY4SNa_KfiFy5_"/>
        <s v="https://drive.google.com/open?id=1wkD-UWKYgrYhkKQPQ9K42qVUdTgUPU_w"/>
        <s v="https://drive.google.com/open?id=1Gp9bTdevxY54eo8x7_jQJKDbod84SfIm"/>
        <s v="https://drive.google.com/open?id=1xEP_7S1ImS1zWcVWFGkepdsV5YOcuxyL"/>
        <s v="https://drive.google.com/open?id=1rikBbU5nYbXwrrGhWmJ4hPcJf1R3TnfF"/>
        <s v="https://drive.google.com/open?id=1EQublzc7LBgMdzbtbQUVrZdsy83NVlTq"/>
        <s v="https://drive.google.com/open?id=1XVyLD72oNv9N61aOJa41exxawoUf_qPf"/>
        <s v="https://drive.google.com/open?id=1-yQRxNEIkts4CN4P2oVTj_AFPmTjehjP"/>
        <s v="https://drive.google.com/open?id=19McwleiiPtHKEmF_u1Rp-sCdskRiS_Tt"/>
        <s v="https://drive.google.com/open?id=1T-mJOUCktA_9FQAeN5OpDBxz7oFpgqUo"/>
        <s v="https://drive.google.com/open?id=1SbnPNPziakaSq0xGgjbiL7FSScEIDeGV"/>
        <s v="https://drive.google.com/open?id=12fIWKEoel87dmu35og3vB-f0q5eVhxBz"/>
        <s v="https://drive.google.com/open?id=1b2Ydf2R7x-8PMzsHXiSLxtxXKI8VK6hU"/>
        <s v="https://drive.google.com/open?id=1tF7ij7t2z_ZTXKbMUfI43N30LxJOXXUx"/>
        <s v="https://drive.google.com/open?id=1H4od1g1GlsJJ-DEx6vQ5DZg7JJZ00weZ"/>
        <s v="https://drive.google.com/open?id=1vfGwj5gZYDgpF13WT1G9h4k4ysf1uv24"/>
        <s v="https://drive.google.com/open?id=1lt6t7j3jZYA0_KvOp4guzXWSRFYd9Ssp"/>
        <s v="https://drive.google.com/open?id=1M9hnCJQ4s9Pjp5eeXIeCgjBSEsCoTprF"/>
        <s v="https://drive.google.com/open?id=1Hmia61S0gTJtGrc14MRiHNMcdcF77hoq"/>
        <s v="https://drive.google.com/open?id=1FGU6xHOLUtuUMd5WBkFe9cvLxfMupdrw"/>
        <s v="https://drive.google.com/open?id=1TfG1hBZsEOyVYYIR-bnqs1CQHxpI-ttR"/>
        <s v="https://drive.google.com/open?id=1jkYo2QhN7ndUBsVWMZR4KFE4RYtHN871"/>
        <s v="https://drive.google.com/open?id=1GxNktriFJgB0856lHWPju0UVF9jUQ-f3"/>
        <s v="https://drive.google.com/open?id=1jFyg2p5XYllDeik3eV6FxZZjhFtYfd_f"/>
        <s v="https://drive.google.com/open?id=1Dy-QlArYOZj2QW5j7f8mvid2pCVf7NHe"/>
        <s v="https://drive.google.com/open?id=1hj1WHohz66ypWjLikVWqmnoOioA2lBl1"/>
        <s v="https://drive.google.com/open?id=1Sa6YoJAMDIrjKLUMptEHCb6MWb5LKASo"/>
        <s v="https://drive.google.com/open?id=1_g1kmed52bzszacDhMDqYYJ7Vvw-jwDk"/>
        <s v="https://drive.google.com/open?id=1vMWaK3lMiqPHz6WpbiCj087idn4URj-b"/>
        <s v="https://drive.google.com/open?id=1xZQ784S2xRvm6Ipgk3SdQUjAXZCFIo6l"/>
        <s v="https://drive.google.com/open?id=19dcKNloRPhdTPKeX8XwBYzQZz7HejNAQ"/>
        <s v="https://drive.google.com/open?id=1kgPjhSjVDLMKGxinkx38YElMoNMw2j1g"/>
        <s v="https://drive.google.com/open?id=16s9oMZXEkw7nApYH7n8DE5sP44A38TA3"/>
        <s v="https://drive.google.com/open?id=1TdauXtm0wwPzqLnWA_So2NbsnwgCW33J"/>
        <s v="https://drive.google.com/open?id=1PBLYzyfsjWgaMO1J7ABKFPQiMLPm8Sc0"/>
        <s v="https://drive.google.com/open?id=1LCFjfwP8etb19BDDuCEoq1Z5gUJPpKm-"/>
        <s v="https://drive.google.com/open?id=1Zfm1idkueo7EjdBQb1kxqA8crhBjnWIT"/>
        <s v="https://drive.google.com/open?id=1K4unIUXUM3g4MlQ0SvZfn4fMZfJQf8oj"/>
        <s v="https://drive.google.com/open?id=1oOeqqabkOuHMaVcW-XBgfa1fNaE4o5CP"/>
        <s v="https://drive.google.com/open?id=1_BPrOZRa_xKUwCT48Bh7P6kGo58glTGR"/>
        <s v="https://drive.google.com/open?id=1adPIWy4P222K2XIzySLt7S_39-3dk9cb"/>
        <s v="https://drive.google.com/open?id=18RRYdLBvhlWL_Lf06b_NeKywC9-8wTm5"/>
        <s v="https://drive.google.com/open?id=1y1lc7OHTM4RrlAR0xsbErS18P8nytwmV"/>
        <s v="https://drive.google.com/open?id=1uLeEwuImIRrX6KQSP5QpdW6KsZd5PvHC"/>
        <s v="https://drive.google.com/open?id=1ip9sMrzm1JjbO-QrLlYZ0AWREuKWliG8"/>
        <s v="https://drive.google.com/open?id=1C-56CBwjPEUmFitoXM7STYjqXbupa1vZ"/>
        <s v="https://drive.google.com/open?id=1KZtBbuCqwranFZtAi-PpQwsQokmEy86F"/>
        <s v="https://drive.google.com/open?id=10ilJCoPwnOkzi5I3oYzh32-1AgKNpuzc"/>
        <s v="https://drive.google.com/open?id=1Ldjo9UP_ODjtqO4bg9scVGqXO47eUz24"/>
        <s v="https://drive.google.com/open?id=1zcjgkdBHZIzDRcN4L-ryCk69hw2hcfhq"/>
        <s v="https://drive.google.com/open?id=17G4T_whLfXJPEYyzK3_LPY0PkD0Pj9oJ"/>
        <s v="https://drive.google.com/open?id=1Jtjxa90yuM_TvNXKVhl3oww33tAh9PHZ"/>
        <s v="https://drive.google.com/open?id=1spXShw1SpqcHamu2gbAignj4_8cmLyWm"/>
        <s v="https://drive.google.com/open?id=1B4DHKbPJE9C6tW9pIJsixQ0zWuXFhses"/>
        <s v="https://drive.google.com/open?id=1GIIrUx96N-T5rHcDNH7Q8qKJb8oIzoYw"/>
        <s v="https://drive.google.com/open?id=1sLCRcPDXKngJN9GTg0P_fZWSkJAe34Tu"/>
        <s v="https://drive.google.com/open?id=1uY6Iu7Q6x8SQG_rxrlVca6Bzcu2c4t8Y"/>
        <s v="https://drive.google.com/open?id=1XfCjRxVftK_exqoasZyGZwX5aPMPpNjx"/>
        <s v="https://drive.google.com/open?id=1eWfOu-95LpV5pNEUsV1_T9LtzuJTaMXF"/>
        <s v="https://drive.google.com/open?id=10FbUv1CaINn_muNZcWzu0QK58Pbt18jZ"/>
        <s v="https://drive.google.com/open?id=1WWDxuKvhMcjwgll_va2lDHggWaf03a11"/>
        <s v="https://drive.google.com/open?id=1omrhKyIFBNKWsZ9SiGeYnHlX4cUEovhB"/>
        <s v="https://drive.google.com/open?id=1QVIJ5RM4kzYlN81w2NvzExq4oY38ud9Z"/>
        <s v="https://drive.google.com/open?id=1SHX8-b1kCiHHzx6smEk6fSI3w3mQVEyq"/>
        <s v="https://drive.google.com/open?id=1jLHBcETYUYLRW_KSzxooX1_gTLnMOb_x"/>
        <s v="https://drive.google.com/open?id=1sJ9rgh0-wHRmhfp-rsMH0VySwsYHaadQ"/>
        <s v="https://drive.google.com/open?id=1GnQzfZ9KrMAZkT1xo1SZanJBYLvwG3xf"/>
        <s v="https://drive.google.com/open?id=18r37CPr2Yel_3I9CpNslZbuka2EAIllz"/>
        <s v="https://drive.google.com/open?id=11mT6gyVOwqNo3Lri4RHfSfbtX0kl7mVh"/>
        <s v="https://drive.google.com/open?id=11P0ouXCmoOYpOI7JkLsEuBd_CDoFf1LP"/>
        <s v="https://drive.google.com/open?id=1bvpVXv_4k_5YuyGygZSQj-fjhN4JHOHm"/>
        <s v="https://drive.google.com/open?id=13Wie3_oU1v1PiX0y6eYDCNdbxDaWoVW7"/>
        <s v="https://drive.google.com/open?id=1u0DsCit_zbSbQGVSZ7rtH3CH-afKM6nn"/>
        <s v="https://drive.google.com/open?id=1wxTk2di3qSo5e4UABMu3VGlsIp4JnfUG"/>
        <s v="https://drive.google.com/open?id=1xKUVyoRLudXmmqewF-1whIFa_xGW9ng8"/>
        <s v="https://drive.google.com/open?id=1oOeLP5SG--kXpbDmHz1RW6KBlhBrXvVu"/>
        <s v="https://drive.google.com/open?id=11tAIm6GPO-4DxL5N4AN9RDjguyHw4gZK"/>
        <s v="https://drive.google.com/open?id=1xNrhw3aQLXMBq18qxgD8MKxyAZINlGhv"/>
        <s v="https://drive.google.com/open?id=10D62Ip0XNPbCP25f2XXUZeewi6OR01Nt"/>
        <s v="https://drive.google.com/open?id=1DPFQaCReXUTb2oF8p6Jav28IzJC6zvwK"/>
        <s v="https://drive.google.com/open?id=1HiCNwCE2jVPa1wEVy_fJ0xgxvlujJw8h"/>
        <s v="https://drive.google.com/open?id=1vXVt9s-qhhJOK5FZx9yWbmZ0vV_Fux58"/>
        <s v="https://drive.google.com/open?id=1ka8BOabeuehA2UE6O00jqzgiwTTl-lzo"/>
        <s v="https://drive.google.com/open?id=15ls9NfCTiYVSixpgyV_lCr1g7IIERCC9"/>
        <s v="https://drive.google.com/open?id=1aJ0G6p5OTdlelxFAjWMDxaHPWdBqa33z"/>
        <s v="https://drive.google.com/open?id=1qrUB4FZV--RaWqHMdvQIbfObLVSYEf5w"/>
        <s v="https://drive.google.com/open?id=1GLZdwP8A8fBEpN0cRb1L6mZUQDaPGujT"/>
        <s v="https://drive.google.com/open?id=1lr3xD_i9ASVDsvgs7U2Cmn6GouPmwB1l"/>
        <s v="https://drive.google.com/open?id=1s6GUwOdNGpsqHRhc7qOam7HGKILBJJK7"/>
        <s v="https://drive.google.com/open?id=17uqWj_DBpbh5UrVErzEGsfc-Ur7RZUey"/>
        <s v="https://drive.google.com/open?id=1wI_UO5ePZK7DSq0HOwXdu3lPDsPmFonO"/>
        <s v="https://drive.google.com/open?id=1B7EB8aKC2mJQ8dhEgsprBFvIkBttr923"/>
        <s v="https://drive.google.com/open?id=1mtFsSRVneRiOYMPL5B47uW_CgmGBiMop"/>
        <s v="https://drive.google.com/open?id=1ybL5B9ZxOiWUXl-iA-43sBq4GCnWHl-D"/>
        <s v="https://drive.google.com/open?id=1HjOvBEscheUqCygfYpozshuZA8Utcf7h"/>
        <s v="https://drive.google.com/open?id=1JJlefcwZmQYGQSIC9jsseIlEqJt3kdqR"/>
        <s v="https://drive.google.com/open?id=1BO_-MbGKSZCcBws9UBoHNR1KM8kJAxJN"/>
        <s v="https://drive.google.com/open?id=15ktz0_yMNcmy0hKLIdcuab1GlHPY9sIQ"/>
        <s v="https://drive.google.com/open?id=16d5n2T_YXVuEE2kOpmPxHLpNyCQIEaxL"/>
        <s v="https://drive.google.com/open?id=17iYI_7Ce1Q1er-JdXNII5BBEK86llgIj"/>
        <s v="https://drive.google.com/open?id=15Y-nMWxz1CXkOVqsK21jKq7L90S_HciQ"/>
        <s v="https://drive.google.com/open?id=1xvSeOxBe48nAe0MjEo6rfQFuJ-zFJapP"/>
        <s v="https://drive.google.com/open?id=1m9fscXVyFmSwfcvzNyt2p-ZhJ64w_cu5"/>
        <s v="https://drive.google.com/open?id=1nOCmIsdEGwt62era1rB430vRDmSzRT5d"/>
        <s v="https://drive.google.com/open?id=1yWB8nByNx8E9KS7EXPJyy6ewl6SRG07G"/>
        <s v="https://drive.google.com/open?id=1IQnuiClbUTa80PEZMyhTxMhsyftfN1tb"/>
        <s v="https://drive.google.com/open?id=181wRUIvW4Ow5mbKqI7RNd4B7VmiUsTQq"/>
        <s v="https://drive.google.com/open?id=1kjeg2SWtkIAlOwm4REeSs2FFydkEe9yB"/>
        <s v="https://drive.google.com/open?id=1Zc6jUrBLArO5CLUpm1U29CgofV4-FK2X"/>
        <s v="https://drive.google.com/open?id=19Sj0bCyPz8D3QU640bOpsMHeEJytRMAR"/>
        <s v="https://drive.google.com/open?id=1TAFx-lyNx54g0qWFr-q_5vsBvDw3pvtx"/>
        <s v="https://drive.google.com/open?id=1HwOR3ED9Z2OHABtEV5at5HajydNuMLff"/>
        <s v="https://drive.google.com/open?id=1NLWrKGO-6G8tKntPCF5DShx3xWU8tdcz"/>
        <s v="https://drive.google.com/open?id=1P74FOqGM-gIiG6rC7RXu89ybof9hGIGC"/>
        <s v="https://drive.google.com/open?id=1NK_56hanXsL1OfdGni0JSaYJVHdWowLu"/>
        <s v="https://drive.google.com/open?id=1F4WPIoxEqRJTCZvih0p8U343lxzd2y2I"/>
        <s v="https://drive.google.com/open?id=1QHcq8CjmnD9JXzs0N1AsI_0EgIIg5CSy"/>
        <s v="https://drive.google.com/open?id=1m41PoBHo6_vKVvtBYXYL73g0jBdGQmgk"/>
        <s v="https://drive.google.com/open?id=1a2Wfs1nmn8IplcCkgH4CU527qCbngICe"/>
        <s v="https://drive.google.com/open?id=1fc9Z7SHQFifz0fH8GQFmAoYeakiVHb-k"/>
        <s v="https://drive.google.com/open?id=1vcv1KPxdl_vJ3o5mKxGrCcKWn1gJrqwM"/>
        <s v="https://drive.google.com/open?id=1H3pUQsSkzs-OHvSwVQv_KloW9HQp3fWW"/>
        <s v="https://drive.google.com/open?id=1XNq5RAGBEKbzszNkrltbh9hanFySrmgL"/>
        <s v="https://drive.google.com/open?id=1be06nXCNXDpTaqUK0MIJTb2I3niSVoWH"/>
        <s v="https://drive.google.com/open?id=1201p3G_kM7SyeYVgJT0rQpVxnfNVT81t"/>
        <s v="https://drive.google.com/open?id=1v_w5zX97YdTec2g72okfeJF3OdCLPaYD"/>
        <s v="https://drive.google.com/open?id=1sWYrpr3ODJPfzZiLn1AlMOrJGs8Kd-BP"/>
        <s v="https://drive.google.com/open?id=15p1hHEvL_6drhRD645Bjo5cManPcBihC"/>
        <s v="https://drive.google.com/open?id=1DcXTeN8m_rKDeMnoEBJC57p0JckEVDHu"/>
        <s v="https://drive.google.com/open?id=1vPcYfeSF3J_xCVfeTKfyrxExrXk7zWv5"/>
        <s v="https://drive.google.com/open?id=1xjiwCU17Pjohd0XMzynVILY9MNm1nNdQ"/>
        <s v="https://drive.google.com/open?id=1BRaw0-O2Bn80XfapxfksZga0u6Y54nwM"/>
        <s v="https://drive.google.com/open?id=11us9PlL_kyq6jhs-yekhOc4yAcSzM_8G"/>
        <s v="https://drive.google.com/open?id=1pchqg5SO-yYVRW2LexxMVphGc-GGpg-3"/>
        <s v="https://drive.google.com/open?id=1xRD_QwbnRzenif6Hj4LRBn1CvUKpJ0r5"/>
        <s v="https://drive.google.com/open?id=1fP50X1bhu3vJ0OUXr6q-X9MnWBaTGZfx"/>
        <s v="https://drive.google.com/open?id=1JrzKa6Ydu1qYH77QZWvjC5mqwUcIlYVC"/>
        <s v="https://drive.google.com/open?id=1uYIrO75VF4srq7sMtc8HCOd2heYCkqKc"/>
        <s v="https://drive.google.com/open?id=1WWqYvIJNAV3AKbmEDyhicCeyKHkb9f-z"/>
        <s v="https://drive.google.com/open?id=1uQ32IWfpYeJGQNgTnboQ_YzIcrDI_hNn"/>
        <s v="https://drive.google.com/open?id=1aeHyJPhI4QNoXZAdMmB35wC5GXrOF5mr"/>
        <s v="https://drive.google.com/open?id=1SeZRzi5dLyRFaBlpPBveDNGsp5xMB6aZ"/>
        <s v="https://drive.google.com/open?id=1jnqobBQp0bScHwNSgKg-zi2QiUbuUQ3t"/>
        <s v="https://drive.google.com/open?id=1U9Gg-jZjQRGOrl7bcxMpVqGf01oFWyoq"/>
        <s v="https://drive.google.com/open?id=1NV6bHKgSeMW6DGjnZSmFTm47JDRUg5oX"/>
        <s v="https://drive.google.com/open?id=1cpbmuCSLFRykqTsmp5s13AUjosE505wq"/>
        <s v="https://drive.google.com/open?id=1_LPPctpW-kmi1Uf7stRiImC-Fu4HQJEI"/>
        <s v="https://drive.google.com/open?id=1k57EEx664d8-_CQFRQO27ksnpjvmj7pc"/>
        <s v="https://drive.google.com/open?id=1y8XU7P_QSfdN1Kk_bDpLuPbBqG8Cjpw1"/>
        <s v="https://drive.google.com/open?id=19Qv45iW4y_FvVeZ5caPfXKI02X3aZTfz"/>
        <s v="https://drive.google.com/open?id=12q8CtOztMxFOq8t8gGlydSVJyIwJDPMR"/>
        <s v="https://drive.google.com/open?id=1B2SV0ODwOYNDnN5GZsqtLAyqH6yWnJ-V"/>
        <s v="https://drive.google.com/open?id=1P6xBWprIwxXiJze0rePGln_rkJ680dDh"/>
        <s v="https://drive.google.com/open?id=1J1sm9Mbk91g7fCg7XXa--lOj8x9RlbY5"/>
        <s v="https://drive.google.com/open?id=1J4Ik5NHveAt9_h1MoINdHwQUj8ZyhEEK"/>
        <s v="https://drive.google.com/open?id=1dvOzogTTR9G7sZAOahOQBwaXg112FMZ5"/>
        <s v="https://drive.google.com/open?id=1l_yaFgJJa6buXrIdQEr-YvTxPpU_r4bT"/>
        <s v="https://drive.google.com/open?id=1mxO2yZUuJpyuBuwzcpehRfOZPFQLv4Yu"/>
        <s v="https://drive.google.com/open?id=12var_5t6QfUbNywYyPNnYkIcCYpziUSU"/>
        <s v="https://drive.google.com/open?id=1xhc89Udp76jBeM6m-Q-lDb_hUacdBib2"/>
        <s v="https://drive.google.com/open?id=1ATRmyiOPoYZF8bL_Uw_0mVh3Rzs5WXXD"/>
        <s v="https://drive.google.com/open?id=1a3xlgFPHkjBCuvFNzgknd9BVnnSTcyug"/>
        <s v="https://drive.google.com/open?id=1QHy_Eq7Z1hhaHOUdcB77pCAskzjRnqS0"/>
        <s v="https://drive.google.com/open?id=1mofbcTU7-coqvX4j29tZta4mvh6nYhRv"/>
        <s v="https://drive.google.com/open?id=1FYD8-sgCRu43ASu2i7_W4z17BBVKX1dX"/>
        <s v="https://drive.google.com/open?id=1bN0oJHzcIHO7bsjHo3-_V0ZygHHu0dsF"/>
        <s v="https://drive.google.com/open?id=14vTxzX-k0mqjhVyCeLxdWMecDCi5bfHd"/>
        <s v="https://drive.google.com/open?id=10Zy2ps6hGLyBIJeyHqSr8lQCEAX74hCi"/>
        <s v="https://drive.google.com/open?id=1QcypxLLH0zWD9Q7XSQiRXXVDxdiWXYc6"/>
        <s v="https://drive.google.com/open?id=16N6lsl4KRs1ao6Smao3OlxDtNJnS_qOl"/>
        <s v="https://drive.google.com/open?id=17CzM1BeYO5BYDEJp35ayHAKrFop8iBg2"/>
        <s v="https://drive.google.com/open?id=1DGl4umIObTxOq4zY8jDuJ_D2it0vk9hn"/>
        <s v="https://drive.google.com/open?id=1Y_uMm0MS8HCGEVpB2QlYrq_Ce7IaYHev"/>
        <s v="https://drive.google.com/open?id=1fnoQHYpiTfsNrqlADadHNbc2-_TRQLHB"/>
        <s v="https://drive.google.com/open?id=1wtDD6Pbxw7NcuSNRh-GNiqesjLtXtDk3"/>
        <s v="https://drive.google.com/open?id=1o7uusQWhr1wB9ScLHDtvL2fBHUkQdnKu"/>
        <s v="https://drive.google.com/open?id=1TIS4rwbPy-9SYXAZEJnuyCmntqTa8wIs"/>
        <s v="https://drive.google.com/open?id=1bmh43xmXvpBRtbHqAU-QKMG8vdxB8Ugf"/>
        <s v="https://drive.google.com/open?id=1bBQPof-m6yWRH7C6sI4O-KPfz4PV0ur9"/>
        <s v="https://drive.google.com/open?id=1HYU4jKq6GZgLG650gvFxpqoPHkmas3Jg"/>
        <s v="https://drive.google.com/open?id=1CRBZvU4eMWrXzY5kbgOqhtwTS3bsEUey"/>
        <s v="https://drive.google.com/open?id=1eEJadFn9ZwBFn6zKivzrZ-uW7aMw_ALe"/>
        <s v="https://drive.google.com/open?id=1kFhnq5YswU5XzldE6AqLXUKmiuej7oIp"/>
        <s v="https://drive.google.com/open?id=1HGCyOyNa0yOZCET92pXQTMR8_12kiKcN"/>
        <s v="https://drive.google.com/open?id=1235tOu0ayNqfe6OdpG_c7TIM4SNIZ8MK"/>
        <s v="https://drive.google.com/open?id=14PLQ-0PzXGA2xU0nZX8KWbLX4ucIPryF"/>
        <s v="https://drive.google.com/open?id=1BacsBPbxBxKAbrLOT0ZRejzMiOHSTHke"/>
        <s v="https://drive.google.com/open?id=1u8fZmNlkYfT6Bjp8KKgEocVUs2wjLmlv"/>
        <s v="https://drive.google.com/open?id=1rQYBo9i342Ke3KAFEQ4f0qX0DPIKzLef"/>
        <s v="https://drive.google.com/open?id=13EbOrbCmtoKpHwlJEPDu44yMkdUJyPiM"/>
        <s v="https://drive.google.com/open?id=1BirQTwI4KcMIfO6sNiKym4Xqkb_BIxTa"/>
        <s v="https://drive.google.com/open?id=1e7BxqUFBc6q6wFQs84ExcTu_BPSvMBWT"/>
        <s v="https://drive.google.com/open?id=1ksGywjuZjo_jgXMOUw7HX28Jjtn36MZU"/>
        <s v="https://drive.google.com/open?id=1BbyUwMsSOOO4jsXfPb9MoNHIQOaHB1y7"/>
        <s v="https://drive.google.com/open?id=1ngDcPFkuicxjJOMyMJ83m3EQkhffCTkC"/>
        <s v="https://drive.google.com/open?id=1N4Vh5WqnZPxcgFeu6SBqcqVqA-HwmPMB"/>
        <s v="https://drive.google.com/open?id=1EhTeeHOmJKcvwDL7gN0AR737CTV8adCn"/>
        <s v="https://drive.google.com/open?id=1TpISR130cuM9GvYZY-ZkDwlyVWo2C0Z9"/>
        <s v="https://drive.google.com/open?id=1A6wrd5RSCUXGw7bmeULftdi2Ywk2NBU8"/>
        <s v="https://drive.google.com/open?id=1Xr-6clWY9L3I97jphE1h57GhuzOHKlJ_"/>
        <s v="https://drive.google.com/open?id=1n7rSHPfal1cpIyoiPfVZRhbXH7lTdD8n"/>
        <s v="https://drive.google.com/open?id=1c2qD1iG1zqdmLrIvWgdT-TmXm4JSgDaz"/>
        <s v="https://drive.google.com/open?id=1iINsq6-w8ZLz22vpIVLi4A3kL7UpcWMv"/>
        <s v="https://drive.google.com/open?id=1yejxZXMvR-ctHsmynQMAKF1tQOjDiz0I"/>
        <s v="https://drive.google.com/open?id=1mdPvcZoIrI7Xz0tz0P7onibFk5Fn47k-"/>
        <s v="https://drive.google.com/open?id=1vXrN7w5kyx8jf8_2Lgvf25uZJcIhoY1S"/>
        <s v="https://drive.google.com/open?id=1f1C70NzyGSMGWzDRhZXeA4uY2F3IlutW"/>
        <s v="https://drive.google.com/open?id=1OzM4ukDF_wEiC33Gwwxy61e3e3wAxM_i"/>
        <s v="https://drive.google.com/open?id=1vIriRkVqmpawEpKwOUxZX6_AEiPv42vL"/>
        <s v="https://drive.google.com/open?id=1fgFmJE2sMVpYA71STro-ZxbXEuvTs3_P"/>
        <s v="https://drive.google.com/open?id=1yqq498E50Eo8cKwAJHXAyZ4IuQBSUUMN"/>
        <s v="https://drive.google.com/open?id=11wai4tAigCfQMFDazWMr0_Y8IbxL-cbl"/>
        <s v="https://drive.google.com/open?id=1Z6IcJYqb9H7aVskKA1EJ2r5USBuM_qdK"/>
        <s v="https://drive.google.com/open?id=1cC--b1J_f9Xy9uSMhHNUKaXRr4jEgZNJ"/>
        <s v="https://drive.google.com/open?id=1PA_CMtDYMUAlgkSixQSD68-mKH9MsZ1z"/>
        <s v="https://drive.google.com/open?id=14FROsu6h5v3ofwvJw9Az7jbsdAtnk9Rq"/>
        <s v="https://drive.google.com/open?id=1ld7NHUfsfWXwWCdv6txMlRxtbOTsRHtH"/>
        <s v="https://drive.google.com/open?id=1gPrSKwr1Tv1MU8d-3hWNBa3QDOW04IUk"/>
        <s v="https://drive.google.com/open?id=1qKOIdVzKVVTmiOIqfDyAF69jE3n-d0an"/>
        <s v="https://drive.google.com/open?id=1O5dIfhgtS3aoNIeIEwIcF7VE4GuTVzgX"/>
        <s v="https://drive.google.com/open?id=1f2MpPL0SPpTxk7tXugnIV4V5XCRpmBL_"/>
        <s v="https://drive.google.com/open?id=1zErZ9JydLQ2Gqdj0jIV3gkHnwVXTc8gh"/>
        <s v="https://drive.google.com/open?id=1b_yUvZDvrhVbQ0k2k3uW5fMnbpHnnz7J"/>
        <s v="https://drive.google.com/open?id=1DrhimAbutNCeS670twSkWbUxGfQUpEEF"/>
        <s v="https://drive.google.com/open?id=141-ZZo6lgNXp5EA0VztGNB9InfBZRpWh"/>
        <s v="https://drive.google.com/open?id=161N8u38b4eo-MR9QQclXm_1_H_ol6Xnj"/>
        <s v="https://drive.google.com/open?id=1Re4xySdHoXXbzhtIkdCtVA9hgCkdgSwu"/>
        <s v="https://drive.google.com/open?id=1Js7s7O0_qEKqyBy25YSzfnisSecqHofG"/>
        <s v="https://drive.google.com/open?id=16oxC-c9tbSoFkGjnomjs1neLOOK6u9KU"/>
        <s v="https://drive.google.com/open?id=1MDwWccIhH8Vv_XUrHX6XlymtF2hx1xkz"/>
        <s v="https://drive.google.com/open?id=1Rh5AYOp2IdAZoTdGqoxPrmuaB49he2Oi"/>
        <s v="https://drive.google.com/open?id=1jKaHOO9gLiCvccFplFQoG-2S3vfbfEci"/>
        <s v="https://drive.google.com/open?id=1t_ozPK9lIviU3mPe35vWjzAp65MBOgFK"/>
        <s v="https://drive.google.com/open?id=1mkf58tqaKaCgSTnpruWlJAvCAFBKkrqH"/>
        <s v="https://drive.google.com/open?id=1DdLXLq3QynBbmRJw8QXPRXGEyXNZfC7Z"/>
        <s v="https://drive.google.com/open?id=1tOfeN9G9KCeuzF9s8OsxFHLKarbn_iR_"/>
        <s v="https://drive.google.com/open?id=1PWd4HpjpbG5HadSKgTAAFygIYTfZq00F"/>
        <s v="https://drive.google.com/open?id=1sr1cXDmoJaUSyeDbYTB4nT8toZYXLr3U"/>
        <s v="Upload Foto Kehadiran dengan Time Stamp (untuk Bukti Kehadiran)"/>
        <m/>
      </sharedItems>
    </cacheField>
    <cacheField name="Jumlah edukasi - isi dengan angka. Cth: 2&#10;&#10;(Target 30 hari: 600 edukasi Gemini)">
      <sharedItems containsBlank="1" containsMixedTypes="1" containsNumber="1">
        <n v="15.0"/>
        <n v="17.0"/>
        <n v="18.0"/>
        <n v="19.0"/>
        <n v="13.0"/>
        <n v="20.0"/>
        <s v="20 edukasi gemini di kampus"/>
        <n v="23.0"/>
        <n v="27.0"/>
        <n v="10.0"/>
        <s v="* 8"/>
        <s v="*8"/>
        <n v="4.0"/>
        <n v="9.0"/>
        <n v="26.0"/>
        <n v="32.0"/>
        <n v="44.0"/>
        <n v="35.0"/>
        <n v="28.0"/>
        <n v="21.0"/>
        <n v="30.0"/>
        <n v="29.0"/>
        <n v="11.0"/>
        <s v="32 orang (ada beberapa yang tidak terfoto karena ada beberapa yang tidak mau)"/>
        <n v="34.0"/>
        <n v="22.0"/>
        <n v="6.0"/>
        <n v="8.0"/>
        <n v="25.0"/>
        <n v="16.0"/>
        <s v="2-"/>
        <n v="14.0"/>
        <n v="120.0"/>
        <n v="7.0"/>
        <n v="5.0"/>
        <n v="2.0"/>
        <n v="1.0"/>
        <n v="12.0"/>
        <s v="600 edukasi Gemini "/>
        <n v="40.0"/>
        <n v="38.0"/>
        <n v="3.0"/>
        <n v="24.0"/>
        <n v="42.0"/>
        <n v="50.0"/>
        <n v="36.0"/>
        <n v="31.0"/>
        <n v="33.0"/>
        <n v="37.0"/>
        <n v="0.0"/>
        <n v="55.0"/>
        <s v="Jumlah edukasi - isi dengan angka. Cth: 2&#10;&#10;(Target 30 hari: 600 edukasi Gemini)"/>
        <n v="18.5714285714286"/>
        <n v="19.0357142857143"/>
        <n v="19.5"/>
        <n v="19.9642857142857"/>
        <n v="20.4285714285715"/>
        <n v="20.8928571428572"/>
        <n v="21.3571428571429"/>
        <s v="21 edukasi gemini di kampus"/>
        <n v="0.5"/>
        <n v="-6.0"/>
        <s v="* 9"/>
        <s v="*9"/>
        <m/>
      </sharedItems>
    </cacheField>
    <cacheField name="Bukti Foto Edukasi" numFmtId="0">
      <sharedItems containsBlank="1">
        <m/>
        <s v="Bukti Foto Edukasi"/>
      </sharedItems>
    </cacheField>
    <cacheField name="Jumlah penjualan Kartu Perdana - isi dengan angka. Cth: 2 &#10;&#10;(Target 30 hari: 100 Kartu Perdana terjual)">
      <sharedItems containsBlank="1" containsMixedTypes="1" containsNumber="1">
        <n v="1.0"/>
        <n v="0.0"/>
        <n v="2.0"/>
        <n v="4.0"/>
        <s v="* 2"/>
        <s v="*0"/>
        <n v="3.0"/>
        <s v="-"/>
        <s v="+"/>
        <n v="7.0"/>
        <n v="10.0"/>
        <n v="5.0"/>
        <n v="6.0"/>
        <n v="8.0"/>
        <n v="9.0"/>
        <n v="13.0"/>
        <n v="20.0"/>
        <n v="12.0"/>
        <n v="14.0"/>
        <n v="17.0"/>
        <n v="16.0"/>
        <s v="Jumlah penjualan Kartu Perdana - isi dengan angka. Cth: 2 &#10;&#10;(Target 30 hari: 100 Kartu Perdana terjual)"/>
        <n v="0.89090909090909"/>
        <n v="0.872727272727272"/>
        <n v="0.854545454545453"/>
        <n v="0.836363636363635"/>
        <n v="0.818181818181817"/>
        <n v="0.799999999999999"/>
        <n v="0.781818181818181"/>
        <n v="0.763636363636362"/>
        <n v="0.745454545454544"/>
        <n v="0.727272727272726"/>
        <n v="0.709090909090908"/>
        <s v="* 3"/>
        <s v="*1"/>
        <m/>
      </sharedItems>
    </cacheField>
    <cacheField name="Jumlah penjualan Paket Isi Ulang - isi dengan angka. Cth: 2 &#10;&#10;(Target 30 hari: 200 Paket Isi Ulang terjual)">
      <sharedItems containsBlank="1" containsMixedTypes="1" containsNumber="1">
        <n v="2.0"/>
        <n v="4.0"/>
        <n v="3.0"/>
        <n v="6.0"/>
        <n v="7.0"/>
        <n v="5.0"/>
        <n v="9.0"/>
        <n v="10.0"/>
        <s v="*0"/>
        <n v="0.0"/>
        <n v="1.0"/>
        <n v="8.0"/>
        <s v="1 rebuy pulsa, 1 voucher "/>
        <s v="- isi ulang data 1 (tri). - isi ulang pulsa 2 (IM3) , voucher 5"/>
        <s v="voucher 5"/>
        <s v="19, voucher 18, isi ulang pulsa 1 "/>
        <s v="voucher 1"/>
        <s v="-"/>
        <n v="20.0"/>
        <s v="- "/>
        <n v="15.0"/>
        <n v="21.0"/>
        <n v="11.0"/>
        <n v="13.0"/>
        <n v="14.0"/>
        <s v="Jumlah penjualan Paket Isi Ulang - isi dengan angka. Cth: 2 &#10;&#10;(Target 30 hari: 200 Paket Isi Ulang terjual)"/>
        <n v="8.21818181818182"/>
        <n v="8.75454545454545"/>
        <n v="9.29090909090909"/>
        <n v="9.82727272727273"/>
        <n v="10.3636363636364"/>
        <n v="10.9"/>
        <n v="11.4363636363636"/>
        <n v="11.9727272727273"/>
        <n v="12.5090909090909"/>
        <n v="13.0454545454545"/>
        <n v="13.5818181818182"/>
        <m/>
      </sharedItems>
    </cacheField>
    <cacheField name="Bukti Foto Penjualan" numFmtId="0">
      <sharedItems containsBlank="1">
        <s v="https://drive.google.com/open?id=1z4SVoYWE52ZAQ2h8WINT3YU4c1HJwC1W"/>
        <s v="https://drive.google.com/open?id=1Zf154JzyIsnKcCjoaiMDj6smMORMmE10"/>
        <s v="https://drive.google.com/open?id=1_tD0mxEcrlbuLrIMTVYoJc_zWA4SI3Dp"/>
        <s v="https://drive.google.com/open?id=1ZFWTkFy0SqW6AuzhSBtMs15gmi93Vn1w"/>
        <s v="https://drive.google.com/open?id=1xuZtx1naQDp3wkPPgrUNQgafjg-sKTs2"/>
        <s v="https://drive.google.com/open?id=1V0RLsshcbPnVsZ2_tmWop5hsAkVAxtAM"/>
        <s v="https://drive.google.com/open?id=1SPzPQEbJgSuA4v9mG0P2UfZ91MrpFD6g"/>
        <s v="https://drive.google.com/open?id=1BBcgB4uGJ7kXoidEP7LYlTeD5F-deJGd"/>
        <s v="https://drive.google.com/open?id=1suvHRBrZqhg93B3_bWUcaIbTqilKf_Hl"/>
        <s v="https://drive.google.com/open?id=1l2d3_N0ZRfFObyrZ5028p-Ld3bXZq2Gv"/>
        <s v="https://drive.google.com/open?id=1s5A23fhoQXag_Np41E0Sn_AmwtiAOI98"/>
        <s v="https://drive.google.com/open?id=1tAf5dKeVd7SNvoX4mqsub7sHd0AbC4OJ"/>
        <m/>
        <s v="https://drive.google.com/open?id=1h8tcQg_3K9qS-RNaJWew-YBRL4z8mKY3"/>
        <s v="https://drive.google.com/open?id=1efdeYMSA29UzuSRhu_WDozMWVL_7kW_f"/>
        <s v="https://drive.google.com/open?id=1T6I1QM9tE9mVo5ZhXdTO4BiCZtY-YsJt"/>
        <s v="https://drive.google.com/open?id=11jZMBMSewGPIFNL4X-bPXX6w2PzECMM3"/>
        <s v="https://drive.google.com/open?id=1jVV_vHExYS0oHT9rMVJhh0bYTR34O5Gn"/>
        <s v="https://drive.google.com/open?id=1kcm1p-XIGSMisqa1TODR4hCOmBH3TSEX"/>
        <s v="https://drive.google.com/open?id=1ufEgi6FeIfsVv-4jWyyzIX2cnGX4VFM7"/>
        <s v="https://drive.google.com/open?id=1I0qNpNtYsN4LHl17JoDXRj4LPEcyBbV5"/>
        <s v="https://drive.google.com/open?id=1p4NOGffBxy5UlNV5Dz1j-XYyw8SRUKJs"/>
        <s v="https://drive.google.com/open?id=1bo7oWrYt4tDw0ACDBFoV_VU1WncLS0HA"/>
        <s v="https://drive.google.com/open?id=1pSkM4NFeERqKPp_YxB1GmifJiStwJ31o"/>
        <s v="https://drive.google.com/open?id=1VgVIkMVNLwcH2gmNl7Oncn0vSb6olPcy"/>
        <s v="https://drive.google.com/open?id=1FtIXd8EnxID4EV15nzGIUKROk9MaIxQb"/>
        <s v="https://drive.google.com/open?id=1tekI-R36tjEMh4UZVlFt-s-6o2f1m-Dz"/>
        <s v="https://drive.google.com/open?id=1UlUE5jdaZXShGGnnu7IwTENR86A8t5Gl"/>
        <s v="https://drive.google.com/open?id=1owE6thnyG4e5SozAllMYrL1wTgG4pLqh"/>
        <s v="https://drive.google.com/open?id=1voX_O-cHGxwTeVhS417lqH2XY06jxa1x"/>
        <s v="https://drive.google.com/open?id=1bgoXNNvEhVUrXPN4JXpNG22m5c0Vsueu"/>
        <s v="https://drive.google.com/open?id=1lEfR19WuOKrsMecn797T3GVD4f-3zyRz"/>
        <s v="https://drive.google.com/open?id=1lHVsDHWP5EsZnNhfSn-l2LLMOlwhIh9B"/>
        <s v="https://drive.google.com/open?id=1NCo18tzgU7dMAlvg-_8PtBXIJ9wIMxF4"/>
        <s v="https://drive.google.com/open?id=1UvhRhm3a4YYPfSOISVLrCzA2tdDKTD-m"/>
        <s v="https://drive.google.com/open?id=12bEUa3HN5GevhbOb2B1jKGecoKrdgy7z"/>
        <s v="https://drive.google.com/open?id=1SJrFXfU6c68lj0aWbmjqcQnt1Br7is6a"/>
        <s v="https://drive.google.com/open?id=1Q5fHAFARB8bSfjDJVuGnrGya7X7xvUb-"/>
        <s v="https://drive.google.com/open?id=138TIiWGH0zMcdC7bXJJRquOKzDV657jJ"/>
        <s v="https://drive.google.com/open?id=1lhpKo6sbA3MbByKHX68YDaCVIxZbksVM"/>
        <s v="https://drive.google.com/open?id=17ckb5DIF5VwC3VPntQ2sJBkgMdMXVjKl"/>
        <s v="https://drive.google.com/open?id=1eGGDPXpLfXnwWmMCQtzRB_NOs9SeUBZ-"/>
        <s v="https://drive.google.com/open?id=16U6NyI-v15wht54FBPf_M1PAetFi4fXh"/>
        <s v="https://drive.google.com/open?id=1bDj5jzIXIUGBhdO4dxbm9EzKahyN_GQa"/>
        <s v="https://drive.google.com/open?id=155Sp3-jfOpjaLkxXVgwGUq7eUILndwRg"/>
        <s v="https://drive.google.com/open?id=1BY7zDDRzZaFKa8p833q1KSXZuJ6M2gQr"/>
        <s v="https://drive.google.com/open?id=1uDz2FE_7TnRQKrU9HIaQb9EkPKdbp94-"/>
        <s v="https://drive.google.com/open?id=1Z4RqPVy-nb4SNy1uqprmT_WWnuisOdU1"/>
        <s v="https://drive.google.com/open?id=1iHYCXbEtYY2QodH-x8YvsWho6n9q8wmC"/>
        <s v="https://drive.google.com/open?id=19v6FdaAKls-BNwShi0QUqFq9jcDyfxth"/>
        <s v="https://drive.google.com/open?id=12Gpw3mfQcbeNVCWD2qEwpaMIayqCBBIF"/>
        <s v="https://drive.google.com/open?id=144pM4GkTs9NQqNH2357YsL2wqRy1FqBF"/>
        <s v="https://drive.google.com/open?id=1O_z7R3X1EctY6i73dZAHQ7ICDlSdmn7J"/>
        <s v="https://drive.google.com/open?id=1YEa1E6PqX7Jyc_6YFzRpgc4r7jqOIeug"/>
        <s v="https://drive.google.com/open?id=1a7UO6DVFNJBezFaUMoste2uFgWf8u6u6"/>
        <s v="https://drive.google.com/open?id=15QLcCsWitpajjCNXGu2N9G0CKBu-PA70"/>
        <s v="https://drive.google.com/open?id=182I2F8Kke8OJ2I543LQvMpEU8aFKrMLU"/>
        <s v="https://drive.google.com/open?id=1mEoVkjUpUGm7AXRtQjlbhm0vp4uzpwPS"/>
        <s v="https://drive.google.com/open?id=16PuCm7Q0aRkNGOetnf-raBRLjtjp3w5t"/>
        <s v="https://drive.google.com/open?id=1Iyn08Kr3yIY_lLcYqgF8jrYUDZyTC5ef"/>
        <s v="https://drive.google.com/open?id=1c_iltrkOaEklexQdlFLK157jY4UOYH3k"/>
        <s v="https://drive.google.com/open?id=1dzndpsuhbtp5tSLsUB9byuOPAiGkjwIB"/>
        <s v="https://drive.google.com/open?id=1IVuT5YVkyJ7EZ9VCO59vJZcapKvpoRIC"/>
        <s v="https://drive.google.com/open?id=1HzozJ3NRQMLhPoDb1C-jHlV7RXPN52Zv"/>
        <s v="https://drive.google.com/open?id=1RyIrgLKTSH3LsSVqrFX72WDeuyNGSC4i"/>
        <s v="https://drive.google.com/open?id=12xbIFlZG5MSkefK3QY2lnZd-3xnEUmJv"/>
        <s v="https://drive.google.com/open?id=1JNVOmLBXpSj_O98Z2kXY123bQ90C1KKh"/>
        <s v="https://drive.google.com/open?id=1CTqLwnlJRCtcXw78m_KRvDZomAxsrIBX"/>
        <s v="https://drive.google.com/open?id=1svJoAOO0_NJAgOkRLr-F2tlyNI2038dN"/>
        <s v="https://drive.google.com/open?id=1ypWaYnuQ63JoXroymQkcZU0lkRS5Lbwn"/>
        <s v="https://drive.google.com/open?id=1zipv_16coacbZQfK5yYNFtFmarxzVRuN"/>
        <s v="https://drive.google.com/open?id=1HmnApx6jfk971E2d4gmzvlT4UgllMlHM"/>
        <s v="https://drive.google.com/open?id=1ywqAUxv5J8VpUlazwAk1qrgarn1PHh_G"/>
        <s v="https://drive.google.com/open?id=10RaWJXHDX2k0kswA9zCialP8fBiWYl8e"/>
        <s v="https://drive.google.com/open?id=1U-RilbaoxoEMScV_UUXFSEc-DotbIk0r"/>
        <s v="https://drive.google.com/open?id=1027pxdYu_2ysMhidvAjdPuIKdnoalYgU"/>
        <s v="https://drive.google.com/open?id=1B92L4vQvq77s4bnJQ2_Retgf3PKoHPxB"/>
        <s v="https://drive.google.com/open?id=1F_uGfmATZCQWJDUJfMJgNIo-a6ip510l"/>
        <s v="https://drive.google.com/open?id=1gSYCjM_BmfEgEtPkBXczNvTyWNOzZUhc"/>
        <s v="https://drive.google.com/open?id=1DcmjoNPC1XX2eMkAvvswQi0Hk3Hq-FrB"/>
        <s v="https://drive.google.com/open?id=1P_GX0IEnObf0lRGSvgzbBbIj0vklxk3_"/>
        <s v="https://drive.google.com/open?id=1yXTkAdrU7cQwbfc2W60hugmOodP1qKu_"/>
        <s v="https://drive.google.com/open?id=18rH3ZqFRqq7bbs2Pg0u8ThKuHg7Niw3O"/>
        <s v="https://drive.google.com/open?id=1Tlx-7-SJubtfdaA2vqsEbfJ1bVuyARUc"/>
        <s v="https://drive.google.com/open?id=1Fi7TShYIe4UbV_VmSqiU1MOIBrIKsLOD"/>
        <s v="https://drive.google.com/open?id=1sObW_7IZL2uMYv3T8KTWxruZKifk6_vD"/>
        <s v="https://drive.google.com/open?id=1Tpt5hHBMbo4bDKMUgJmuJn1OKJXx2X-D"/>
        <s v="https://drive.google.com/open?id=1FGGSKhxrOc5jxJO2SHFuE7xwHF7oWYMb"/>
        <s v="https://drive.google.com/open?id=19jaYgS2oJwOww8wj5SJmiPFiHmsf2_PT"/>
        <s v="https://drive.google.com/open?id=1G-Q4BAsFhHF-Axx76vIbbNuHrt8B0H8a"/>
        <s v="https://drive.google.com/open?id=1WUP_yo6WBbFmgblHrUjGq36OJsWAsVw4"/>
        <s v="https://drive.google.com/open?id=1Rni5VYg1lhaDuBgqLP2IviY1XUut86tv"/>
        <s v="https://drive.google.com/open?id=14BIKxE-yJDCb9PoZ2hGundJ5aZLjJEnF"/>
        <s v="https://drive.google.com/open?id=1WTj_193KNm4Kc8qEVSJv1dERlCS3OcAC"/>
        <s v="https://drive.google.com/open?id=1diSkX5pxRgSZE712ZD-0G8a4VESPjd6a"/>
        <s v="https://drive.google.com/open?id=1T01dB_Qa6_K4fAkRnhp7OxCaWKQYQ_y5"/>
        <s v="https://drive.google.com/open?id=1j-QWnt6xItaqPUpQyyDHyvh--4-LrcYy"/>
        <s v="https://drive.google.com/open?id=1wWRn7uHY7VEd6xX_m8ppqTX1hmXLMswN"/>
        <s v="https://drive.google.com/open?id=1TitWLm1TwrJ45hee_GKZL3HC02hls_7O"/>
        <s v="https://drive.google.com/open?id=1w7m5o_pnjHwzIWu66yfCpELwI4ZGYimC"/>
        <s v="https://drive.google.com/open?id=13_MBfthx0XbQDBGTYBMmHSco9OCIj8CP"/>
        <s v="https://drive.google.com/open?id=1CchLn6B1f2MiH49dM-Lcmwz2rQoB8onC"/>
        <s v="https://drive.google.com/open?id=1Ac8OBtS-9yizxy3oJOUwYguiYAIXQqfx"/>
        <s v="https://drive.google.com/open?id=1Wj1lZHrt73zLV-SWlgkDTWvePonGTLqH"/>
        <s v="https://drive.google.com/open?id=1uFqSUcDCLOh5-oi67hRwmVVxN5XZ7mRO"/>
        <s v="https://drive.google.com/open?id=1nqX63gEGAxiWdVP8nI_fckGWUdIGSdnZ"/>
        <s v="https://drive.google.com/open?id=1f3KZf25_8PZxkVAtnnoSyqEOcm9Ochn8"/>
        <s v="https://drive.google.com/open?id=1TAbKJOjkPrh_vxNpZ-_7cSTNIMT4SWTK"/>
        <s v="https://drive.google.com/open?id=1cmcnlxBmtxENY3V-yBDI1v--ZV40VrmL"/>
        <s v="https://drive.google.com/open?id=1MGuRZ2csLXYh4pVdtU7DL6GmXJNOJcYm"/>
        <s v="https://drive.google.com/open?id=1SAaDbBV2DepEeFtmvhgHFzQpKoGux3T-"/>
        <s v="https://drive.google.com/open?id=1zcHwzMPJYbga1BCJk72a9Vr9P_WWULIy"/>
        <s v="https://drive.google.com/open?id=14nVOaG8Wf-Mdhlz_c6PIVJv0GCdI8ZF8"/>
        <s v="https://drive.google.com/open?id=1OcFUj9Tp8FpCOpyJ7XyVE7l09rpE2bO_"/>
        <s v="https://drive.google.com/open?id=1VgQe239OPHHWTwd9j5-FeMpQKn-gSOAV"/>
        <s v="https://drive.google.com/open?id=1C8O-MquPofYw2X8mLt4D8XAC35GJUzT7"/>
        <s v="https://drive.google.com/open?id=1c73j7W5SUff25lbIaS5XdKv9_hs8JLAd"/>
        <s v="https://drive.google.com/open?id=1rby0zQi2AsrE1FaiNjWMqcTS4hd3KgOZ"/>
        <s v="https://drive.google.com/open?id=1_axh8RdMSCe4MHIKmawedmfAEDmVT10I"/>
        <s v="https://drive.google.com/open?id=1QzxDtEjxXaSompp91QEVg08XGVYH79IJ"/>
        <s v="https://drive.google.com/open?id=1HLkPR2GYp5jEf6uTDp8Fkh4gHjKMaWT4"/>
        <s v="https://drive.google.com/open?id=1yznyY8L_XC3r2pVJSMshMEaZKMjrqqJd"/>
        <s v="https://drive.google.com/open?id=1g-1ulI3eSrZVAlOBCC1yU0AHoHADtEzd"/>
        <s v="https://drive.google.com/open?id=1RxTJcH_Bc7CD6czVbMh0RtPZcLPHK8fa"/>
        <s v="https://drive.google.com/open?id=1-DJ-ZaTVXQkhr5gtLADrpXNz7v0CGORS"/>
        <s v="https://drive.google.com/open?id=1hDxp0ul9c3PybLChqBfcKex4Zfr9D1CL"/>
        <s v="https://drive.google.com/open?id=1ONifGI4VD0UYp60BusXzfW55_MFlYyEQ"/>
        <s v="https://drive.google.com/open?id=1ORhzFGDtTNYRUAvj8L6McGs6R80FtwT5"/>
        <s v="https://drive.google.com/open?id=1Ot-bfhFAofGtKoB81UcBtQi5AARs3qMz"/>
        <s v="https://drive.google.com/open?id=1Ov3HKYjW7VPTseA2FQMZzdY2e7WLN2sH"/>
        <s v="https://drive.google.com/open?id=1CnVrIsN2KEEO_S9GnywP0xLP4aTaEa9q"/>
        <s v="https://drive.google.com/open?id=1y6ZTDZslf5pTKKI6RFBx-WW-59Uidvqy"/>
        <s v="https://drive.google.com/open?id=16_Eh7qHQOb5jbZEZ1_NWoY6Ti5Tyyr8c"/>
        <s v="https://drive.google.com/open?id=1StgZ6fk7Jau3-NSBMEWGIOkK_nLXEIOd"/>
        <s v="https://drive.google.com/open?id=1mb5tMreNbFG_LAz5lYQ1LLckWuxkClhx"/>
        <s v="https://drive.google.com/open?id=1fw_RBuTSP5dgCxouqoefolt5akOG72lh"/>
        <s v="https://drive.google.com/open?id=163AI-pl8wT4lMqQMK7RZhgRdIn-ibIhj"/>
        <s v="https://drive.google.com/open?id=1MeFDWqg4u4Du8PHLDrpNAJnx6HTZ202s"/>
        <s v="https://drive.google.com/open?id=11wFOEjuDb6n8NI4eX_q4n-wLWEQTYno1"/>
        <s v="https://drive.google.com/open?id=1MNFCLrLwp-UWbFJEysrBUzQmYt8__2Tl"/>
        <s v="https://drive.google.com/open?id=1hWBXiXWmdLsYMYVBjqVTGG0Ygq-ei2wB"/>
        <s v="https://drive.google.com/open?id=1OPxMeXoOQ26JKHQlFGHYzFgPgRfchvUs"/>
        <s v="https://drive.google.com/open?id=1dWv_s9hWsTjKOIsU24MjgudG6riF0w_K"/>
        <s v="https://drive.google.com/open?id=1SkqhVpGvve4yjmeBkWVI0RcdF4s6OLvQ"/>
        <s v="https://drive.google.com/open?id=1lRwtKvPQX3cfYlhGnB3hHfW4ELFStGdy"/>
        <s v="https://drive.google.com/open?id=18eLc4UR057W5ABdk5HJAQaHeI1ZcwuqX"/>
        <s v="https://drive.google.com/open?id=1lSTFr3zUdZGhWBgfJC_lnSHzFcVmXZbP"/>
        <s v="https://drive.google.com/open?id=1Zx7pUsLYJ2VF7tvMlg8HK6ddXxoi7kYO"/>
        <s v="https://drive.google.com/open?id=15V0nrPjy7rpQhfV1rjiOQCECiu-aPBuD"/>
        <s v="https://drive.google.com/open?id=197lb0VorMojZ09FpveSiLgWqI713a1_b"/>
        <s v="https://drive.google.com/open?id=1k1NjXQwyThnkXMAWAdUeOHARG3GmABTm"/>
        <s v="https://drive.google.com/open?id=1-_XLkJn3va2s7Sm4FpLEqzMBCZlSyTPv"/>
        <s v="https://drive.google.com/open?id=1dAnCVZ50dpWn3GDat0KlHpGzfRwsB-n5"/>
        <s v="https://drive.google.com/open?id=1-CpygJqzSXtKIPswkZBz0XOhYFrJal4r"/>
        <s v="https://drive.google.com/open?id=1y-AQzT3tAIsBuQldHDEJKQYqTLuY2XM6"/>
        <s v="https://drive.google.com/open?id=1VA0-ufVy4ocKpkmFpUGPvdhUKqgaJ5FC"/>
        <s v="https://drive.google.com/open?id=1734qkASzAXnmBnVw5QwEgNPnbqAXgrle"/>
        <s v="https://drive.google.com/open?id=1A8nU_MBSkasSlGJGiyE34DhJ9pRa8XTp"/>
        <s v="https://drive.google.com/open?id=1Af3FaUrIr5twGF65XyP9gRInPnhCuyZW"/>
        <s v="https://drive.google.com/open?id=1-Yd4hNnL08jUDbd6UV30KU671kRtCl84"/>
        <s v="https://drive.google.com/open?id=1GOsIABi-C59pZIxmPJJR8qRDO5uBeB5X"/>
        <s v="https://drive.google.com/open?id=1lL85nVhMYLhIgKtxtUYfkunjC4-oI2AV"/>
        <s v="https://drive.google.com/open?id=1dUKVO73oTaG8HCfpcs02MYzRYUM-NsZD"/>
        <s v="https://drive.google.com/open?id=1zE6FWud1IW9_iMbx7hBFoNj1PlXhmxIM"/>
        <s v="https://drive.google.com/open?id=1uWoUBFA9EN5ZFeGo4iQVWPIy0FXhPQZ6"/>
        <s v="https://drive.google.com/open?id=1kJli75UXir3-lHrsjm3H7xtfBWAyGQbc"/>
        <s v="https://drive.google.com/open?id=1ToHOS2OczGqn61_ZRl4qatL2205Lrwr_"/>
        <s v="https://drive.google.com/open?id=1BFYRW3IbDwH5kVD3V9rjQOmShw0f4tYv"/>
        <s v="https://drive.google.com/open?id=130Fv7yHovOv5GdZ5QwjIzRx6YxKat6bY"/>
        <s v="https://drive.google.com/open?id=1bMg7TeNKjZGKGbDVet6j66bbSVALAGaS"/>
        <s v="https://drive.google.com/open?id=1P-waVoCUtsRH10WCbsEQuuSdmeQa286Y"/>
        <s v="https://drive.google.com/open?id=1vOUXe8a8H-gTnlMIs2hencaVCLD5rq7n"/>
        <s v="https://drive.google.com/open?id=14Nil7C_48jvprgSz-uGReueLnh62CTjL"/>
        <s v="https://drive.google.com/open?id=1-_RSURHlOhLR5w0NLzFW_gNWLw8_J83l"/>
        <s v="https://drive.google.com/open?id=146OykjPRTVNufffRGooJHhrm0X01aBlo"/>
        <s v="https://drive.google.com/open?id=1qbccAb1fM95sgGRw_Th59baYdTWveasn"/>
        <s v="https://drive.google.com/open?id=1y0oQzl4HHNw8WdJj-KikAYc-RZTTNNhH"/>
        <s v="https://drive.google.com/open?id=1Hlim4AHyfk0H4BweyJmYEoXEMOIfcdWv"/>
        <s v="https://drive.google.com/open?id=1OsY2IIcH6ebGnkHjmaEuj4Zs1foaO2XH"/>
        <s v="https://drive.google.com/open?id=1gvg0A9_ZsVkLdHPnrgHgaW1V7eIGUC0S"/>
        <s v="https://drive.google.com/open?id=1SKKyXByZHZePpglPfouYHUGP63dQkUVf"/>
        <s v="https://drive.google.com/open?id=1kErfUkTie-OaKFCSCXWLoi7IL2LLj4ba"/>
        <s v="https://drive.google.com/open?id=1PK8Gkl5TEvcL_-h-FnyF1h_xp0cBsHmB"/>
        <s v="https://drive.google.com/open?id=181CSDkcbBEi5-qaIPfCWKxuGCw31ifm7"/>
        <s v="https://drive.google.com/open?id=1MS4o1FddG-xVrFW_4t21xWC_Zju6QkJk"/>
        <s v="https://drive.google.com/open?id=1T4OVKlFu52sDBYrXYXx0U9o9cdTOfL6E"/>
        <s v="https://drive.google.com/open?id=13tuV7uWfAl-43aw_uoYSFLALJMCOB5sh"/>
        <s v="https://drive.google.com/open?id=1RalRWxWagiSSii4YAHLGq9PlB6UpNb8E"/>
        <s v="https://drive.google.com/open?id=1fUk0ZnnriT3Rgog39ZXWWKRQSZVdac0_"/>
        <s v="https://drive.google.com/open?id=1U9aqtCx8JXVLrZFTsGNXpCYRC93Q6CaN"/>
        <s v="https://drive.google.com/open?id=1rHxtUQ6RlnhxEhoChyM0rpszwpPypBYp"/>
        <s v="https://drive.google.com/open?id=1oddKWmqV-XxzHPf7Qergzh36UjWLRW28"/>
        <s v="https://drive.google.com/open?id=1i0HgCuqncjtpVT-f2RSr-6jE1LEJkpYu"/>
        <s v="https://drive.google.com/open?id=1oIOUzU-6syELylsqkEmcThJ9uVPW2xQr"/>
        <s v="https://drive.google.com/open?id=14Jq2ukddK3cGk72kCGAv7BhHY8CzvEC2"/>
        <s v="https://drive.google.com/open?id=1T8B3PX2I_1uFEFppX7_wigptfbQUNP1M"/>
        <s v="https://drive.google.com/open?id=1iaSPDo6gFNYMw1FJbtLOYelTnKCyYS90"/>
        <s v="https://drive.google.com/open?id=13jLdGAYBOtmZkKdfrUqUg7LJwQLsDCy4"/>
        <s v="https://drive.google.com/open?id=1IdfEuXR_BGa_v0YOekh2SHz35kVIspCh"/>
        <s v="https://drive.google.com/open?id=1gawbcId7aHU3dheGaZeIKWvNhwDWFiiv"/>
        <s v="https://drive.google.com/open?id=1ejIyRa-1hm0w1MhF8OTIeJrruwTQwKRb"/>
        <s v="https://drive.google.com/open?id=1YMvl7EzkeF8efpMl_mgQTm94yYys7FUQ"/>
        <s v="https://drive.google.com/open?id=1bWvnuFb7rCCiGqzGIRo4KbxKvKaTgi4L"/>
        <s v="https://drive.google.com/open?id=1lq4Um9D2ZbDV-l5kQeoSw0L3IKBg8AvN"/>
        <s v="https://drive.google.com/open?id=1pxJ_dD9vDXHgRmMoq98tHC4Lrz67pm_W"/>
        <s v="https://drive.google.com/open?id=1V03LuSYahcwbj-Rs7bZ5nxH0bnMu-Hn_"/>
        <s v="https://drive.google.com/open?id=1jcsrDaO9pOgBupjyYtTkgvmot20sBv9k"/>
        <s v="https://drive.google.com/open?id=1guT1Wc5b1mOzZGcReU_wjIfd7WoCQjhi"/>
        <s v="https://drive.google.com/open?id=19qhGICiUhbb4OPyb2i0zl16AEiWisNNQ"/>
        <s v="https://drive.google.com/open?id=1QfVRJg-olDmbGAy4RnB86qJancOIvJYR"/>
        <s v="https://drive.google.com/open?id=1Q-xT4BeUCRBvWlCbw-s8IGm1CjF9bMnt"/>
        <s v="https://drive.google.com/open?id=13x1hHPkq-6K3y3vMbKPdY0vpbzi0wuzW"/>
        <s v="https://drive.google.com/open?id=1Df56W6QbbgXFzELL9f9MDpRqp3yIHRwX"/>
        <s v="https://drive.google.com/open?id=181LgwMZHVej-nNWqmjOihidOoQAuzv-z"/>
        <s v="https://drive.google.com/open?id=1hyWDMwv2qkU_10P7KfPiYemHzldEB6pQ"/>
        <s v="https://drive.google.com/open?id=1NJmmncrVhspXwZLPwZ7L24HwQeCuaET9"/>
        <s v="https://drive.google.com/open?id=1hrUlzrr3ORaZSdvqqXNuIT4x9PPu2o9H"/>
        <s v="https://drive.google.com/open?id=1f22XnVutMlM0cnWwUPGuG0H3g_eG4sEI"/>
        <s v="https://drive.google.com/open?id=1WPRHnZl_jCvx2YPIzOJARMBXd4si6Fdt"/>
        <s v="https://drive.google.com/open?id=1ThBDg7pbtv-W49-dEPwD9VqOY2RYoRbw"/>
        <s v="https://drive.google.com/open?id=1eoHtSFZL4gBWsvE0G2RG5pnN2uahJNfO"/>
        <s v="https://drive.google.com/open?id=1SjwOC27n4tm_bUBirrtfcqk0NblEPXGW"/>
        <s v="https://drive.google.com/open?id=1zOgSpeicH2uQwvIhtmqJAcInIOfQbsv6"/>
        <s v="https://drive.google.com/open?id=1kom67Xwbf2r6202ybwZTwIlGoUL91yQs"/>
        <s v="https://drive.google.com/open?id=1EVv6uzjo0ezClIA4aA3PV-LoIAoCOVZ8"/>
        <s v="https://drive.google.com/open?id=1Ph-oo-coyaY_hYOUiMFDW8djkHvXzAry"/>
        <s v="https://drive.google.com/open?id=1buEtT4Jp7cjF_VxrXWi5JXImu_DwdfAu"/>
        <s v="https://drive.google.com/open?id=1naho07n4YwjTDR-mkHpddXvK_bqXdOsj"/>
        <s v="https://drive.google.com/open?id=1-QrJvDlJLWqY0ybh41stboWYN1-pvKCc"/>
        <s v="https://drive.google.com/open?id=1B8k_sFoQ-Ss-4OzAQlmKAY7Zn8lrZYgt"/>
        <s v="https://drive.google.com/open?id=1I2gRQuBTLLTdHqD3h2oiAFS7rqBRD0bh"/>
        <s v="https://drive.google.com/open?id=1piHt-vZxglM23gJ8XAybZ1OoIjQF8IZO"/>
        <s v="https://drive.google.com/open?id=1WY9J622QM20_YDPJbDuJbU48GyOT45SL"/>
        <s v="https://drive.google.com/open?id=16Lqj6Qps8qoTqzz5FrqoibzObh3qGJOh"/>
        <s v="https://drive.google.com/open?id=19EyudNkvCkHwmABxi5spE9V7lMT40ZNf"/>
        <s v="https://drive.google.com/open?id=1XehGREVNtETt2_ODnEWA-e8Wa8CJTWx9"/>
        <s v="https://drive.google.com/open?id=1CQYc1OedGfnT5x4m7H5Lps1jh5JphR_h"/>
        <s v="https://drive.google.com/open?id=1XUhrOQUh7kdjQDxGbRZqbUUTY4lXxb2Y"/>
        <s v="https://drive.google.com/open?id=1HuQUNu69B6JjHnLrt3MP2lTrccUzgrWp"/>
        <s v="https://drive.google.com/open?id=1nYUX7s_yd6rUEZXNHrKJgnLeLE01DYBH"/>
        <s v="https://drive.google.com/open?id=1wusv8NKuj9CB-B74jFpjrOYdVugCdpbe"/>
        <s v="https://drive.google.com/open?id=17ekErsyprbM6xpwJquvgmuOnpBRTY8rl"/>
        <s v="https://drive.google.com/open?id=1TDo_991P5JPq44bteuZKzEMfdcPbLz_l"/>
        <s v="https://drive.google.com/open?id=1JxBcdNq1biAP-d-IPJbleakRhfWyNz7n"/>
        <s v="https://drive.google.com/open?id=1kiTAeG9BajMmRTp2MMdh6q9LcWAyisLa"/>
        <s v="https://drive.google.com/open?id=1rqFeNTVmNhl3YfoIsyaWlbOSJE7t9PB4"/>
        <s v="https://drive.google.com/open?id=1PyEl-b1seNJ22KGKLfm8vYa6xLFNbRNt"/>
        <s v="https://drive.google.com/open?id=1F3FK8xIsgeMNGlyI82rWOy-dVa5Th6T5"/>
        <s v="https://drive.google.com/open?id=1eEwSOvWoah9nbaCBpGwbKSexCA9k8KIj"/>
        <s v="https://drive.google.com/open?id=117OQkNZTS6w4_fyGm9zxWNRIzeCXhBXP"/>
        <s v="https://drive.google.com/open?id=1U3lg4f6Rb2PtLMunSdaWQdgT8fJwRujX"/>
        <s v="https://drive.google.com/open?id=1uAB029dnUy-6ixOsbOh08GM68CH14bzG"/>
        <s v="https://drive.google.com/open?id=1pVTaKtfSeP3drNWSH9LEYBR-tbbUSrjK"/>
        <s v="https://drive.google.com/open?id=1UXRAXvZbPolLQmVGW-Cd25WHAwfDo9Qv"/>
        <s v="https://drive.google.com/open?id=1ZYiq2UGb8-BQHNMUSFVh6nZiuKFcPwX-"/>
        <s v="https://drive.google.com/open?id=159fA0fzlUzfKmAc0avX9EJQI7Fk8xXN6"/>
        <s v="https://drive.google.com/open?id=1-Wo7Wl0F7Z3yu8BqfNriIG_1r_bOlxZ0"/>
        <s v="https://drive.google.com/open?id=1A9JKbhxOlVmaxnb5zlJORzwrB2Xm7TSr"/>
        <s v="https://drive.google.com/open?id=1xVfNmLQpdkP718PM3Nny4uC0eLejAhxv"/>
        <s v="https://drive.google.com/open?id=1P11JwPmPvY7T1b_UMQWxK1NMNlHd-Uxs"/>
        <s v="https://drive.google.com/open?id=1qG8udWLa9BapK810BvF7qpRhsOy9lCqT"/>
        <s v="https://drive.google.com/open?id=1UZOWID1akFNlcrBKuE1ueyonr-ze3Obr"/>
        <s v="https://drive.google.com/open?id=1p9krsrcS_ayDR1hcuVp9auGVz0tCLoRk"/>
        <s v="https://drive.google.com/open?id=10jhcHOse42U2LsIH2t9MtssAWSTRPQRA"/>
        <s v="https://drive.google.com/open?id=1PLjiPj1_ZQT8o34i5OE-UNKlsaQjw061"/>
        <s v="https://drive.google.com/open?id=1HJfB5wpk4D62XQDVh9XRjP6NJJkRH3P9"/>
        <s v="https://drive.google.com/open?id=1eEK0l5Q1_yrqT8ycJJ1QiWt7X8sLSQG_"/>
        <s v="https://drive.google.com/open?id=1-pNzls2VbWGKjjrszCSaWXaFypBHzFB_"/>
        <s v="https://drive.google.com/open?id=1GFFgmEJ_sxG9rwRhZU5eP8B3-STsvVrp"/>
        <s v="https://drive.google.com/open?id=1Yqj3vdLNrUCzoBTFh5TD_NR0v6DdyVbJ"/>
        <s v="https://drive.google.com/open?id=1qP2Wcbwr0rRF8cv9a_8ZHF4ekZ89cpuK"/>
        <s v="https://drive.google.com/open?id=1PpTe3DnfHou84p7b-4dEdqSASmNj2xS9"/>
        <s v="https://drive.google.com/open?id=1MzxFvY76zifsvMwC34foLp4TB5eCqHF2"/>
        <s v="https://drive.google.com/open?id=1R5W8Z2EDUa6lYiqnz0rwwgtkCCnNSOZ_"/>
        <s v="https://drive.google.com/open?id=1P1dO9ZBBXWd5R5N-FipyS4IdlfHf_ouO"/>
        <s v="https://drive.google.com/open?id=1-ThJLVrEd83eeDgCXfPuR3PG9LAUiN_C"/>
        <s v="https://drive.google.com/open?id=1JngMajvMrifOyMjcSfjk-zJwv-bCfy5g"/>
        <s v="https://drive.google.com/open?id=1b2uUxil7yUAG8cqOZNVLZmYSiNTQ7wAB"/>
        <s v="https://drive.google.com/open?id=1IcpttItQSZv9ilrCnLoK9M5sARuLf5MZ"/>
        <s v="https://drive.google.com/open?id=1GV4TgK74qUQkkYEGCAoIEqTorSCg9oAI"/>
        <s v="https://drive.google.com/open?id=133QY32fjvAMhxyz5TCQP0cFyUgGdCIGO"/>
        <s v="https://drive.google.com/open?id=1WnvftjdRWVrH8Sq2jfg765DilpNJGFby"/>
        <s v="https://drive.google.com/open?id=1yq96fGrVyvtsixKCC3Fm47hqP4pe0xtU"/>
        <s v="https://drive.google.com/open?id=1AqTl9FycASY9e4bWrjQUot1Q-xX3h4SA"/>
        <s v="https://drive.google.com/open?id=1Fi0el87XVroWE3r5Om9CnT81xTuLAy6h"/>
        <s v="https://drive.google.com/open?id=1B0dINa-531OIWRROR1zecRLC54E8qklj"/>
        <s v="https://drive.google.com/open?id=15b97UjlHI96f71KsMaEaxfLU4JYj3VBp"/>
        <s v="https://drive.google.com/open?id=1c0fTvqx4vuURMt_GMFUKuEyI5gacxw4t"/>
        <s v="https://drive.google.com/open?id=16MwCYFoAGYBQDYyHOfp-Rnn3ZzGsyvw2"/>
        <s v="https://drive.google.com/open?id=1JL69Pw-vsuwp1sjnEVcPrCffqRnPDdVj"/>
        <s v="https://drive.google.com/open?id=1TLIdP7j0p7z_kHCnMcHOjXzOhD0xalHN"/>
        <s v="https://drive.google.com/open?id=1hCMqUQprD2jOwz8bXA0B3I5W33Ih8L3S"/>
        <s v="https://drive.google.com/open?id=1LuHBNkb321PRocjYvuP3CZPsLZGKSXxN"/>
        <s v="https://drive.google.com/open?id=1L5MKpd8tmxFSmJ9eA6Zi1qSsAlGFcNw1"/>
        <s v="https://drive.google.com/open?id=1hjyXiRBQMArwqD11EX8-XrQi63KeoaA7"/>
        <s v="https://drive.google.com/open?id=1KnO7feiU2JIqalE80SBl96dA7lt7kRbX"/>
        <s v="https://drive.google.com/open?id=1Ba2kvmJlegrS1N1cbFdk1u8K7_8m2Mmv"/>
        <s v="https://drive.google.com/open?id=1LLN104CeO35TMc5xxa7CJB7otKmdM4L4"/>
        <s v="https://drive.google.com/open?id=1ixUkqGidtXGe6ZIIbm3CQ6i_NcJGLCwv"/>
        <s v="https://drive.google.com/open?id=12leE_PN9gVfNyClP_PfcC0MFDSpgD5_q"/>
        <s v="https://drive.google.com/open?id=1VKdyYRBjaW9KSIyruzesTCm7UIInDFyb"/>
        <s v="https://drive.google.com/open?id=1uXUcnKHePY7515h730qKnkvaE_2AXV3E"/>
        <s v="https://drive.google.com/open?id=1NEb9g0F9jH6oYju2igOFo0XeQkzNVZfh"/>
        <s v="https://drive.google.com/open?id=14AoaoChDXe4nXx64GFJOJXI7bBcv6Dby"/>
        <s v="https://drive.google.com/open?id=1SvwR5ItZHGJGhfRS2cvkroAhqjyKbBH6"/>
        <s v="https://drive.google.com/open?id=1DxOEtDFAwkkUg3w6kUMG8qAqQn6wzSiH"/>
        <s v="https://drive.google.com/open?id=1MF4vd-m7x7E7O_uIWCQ0a5srTP0C-rrT"/>
        <s v="https://drive.google.com/open?id=1CS5d1fV0LRIqCjGRXTAH4FR6VZZk-E7v"/>
        <s v="https://drive.google.com/open?id=1EAWE-5hK0X9WXlETW_E-RRROuvEE4tN4"/>
        <s v="https://drive.google.com/open?id=1ByuNQNQe5JLmKpSLo8rJSurkTTp9C6l_"/>
        <s v="https://drive.google.com/open?id=1wbrVAGwvnHkVfozdvs_weUtRHvVPe7tq"/>
        <s v="https://drive.google.com/open?id=155jRo3ix1QB8xHeb985Zx2r8NlhnwXFA"/>
        <s v="https://drive.google.com/open?id=1VBU5YMjp3kMfhqyqamOPHXk7Eyg0GMsz"/>
        <s v="https://drive.google.com/open?id=1ZKNIVF3Wuzkci9LieeOJeFoHEhW2aSTA"/>
        <s v="https://drive.google.com/open?id=1DwygsyXjqcvJGSuu3Ml3axRc3dbWdWpT"/>
        <s v="https://drive.google.com/open?id=1bogkvAf4FIj-145wrgxcjieM-fiNCzn5"/>
        <s v="https://drive.google.com/open?id=1yWkbTUSqTtxEu9c0xtl8xPIgXvVRIQs4"/>
        <s v="https://drive.google.com/open?id=19FPLSKJ-1cDbWliLjoZSJ03V58x694G9"/>
        <s v="https://drive.google.com/open?id=1LBVM7FSkeOvvcVlOmaYt0myCbd5nGKRT"/>
        <s v="https://drive.google.com/open?id=1rtPdwYXQs1lO5TZoSezX0-AsLWs_XrD7"/>
        <s v="https://drive.google.com/open?id=11Jq2hlyShHrAhImX1y8bFpuVdd2HFPdf"/>
        <s v="https://drive.google.com/open?id=1wh5pdmLjckDVIBEg-qJCjUrXaxy3Y55S"/>
        <s v="https://drive.google.com/open?id=1kULodtgZf9v1jXL3a6gMxBL0a_qOhiMi"/>
        <s v="https://drive.google.com/open?id=166aoOsYEl30ukdI8J7Md2mbAs3Ka0V1Y"/>
        <s v="https://drive.google.com/open?id=1hL8hDWHWTzA3gRcAUP3-ABtLtCO9PZyV"/>
        <s v="https://drive.google.com/open?id=1U8N6SqPURI5Q0rI3urEE9yQ9jAOZpQXR"/>
        <s v="https://drive.google.com/open?id=1i4ONuu_MOkdUVgaCSzVO8N8URdbCMFLZ"/>
        <s v="https://drive.google.com/open?id=1rj7Z23xk2kzuzKcv85XGZt0I7wigF3Pw"/>
        <s v="Bukti Foto Penjualan"/>
        <s v="https://drive.google.com/open?id=1Zf154JzyIsnKcCjoaiMDj6smMORMmE11"/>
        <s v="https://drive.google.com/open?id=1xuZtx1naQDp3wkPPgrUNQgafjg-sKTs3"/>
        <s v="https://drive.google.com/open?id=1s5A23fhoQXag_Np41E0Sn_AmwtiAOI99"/>
      </sharedItems>
    </cacheField>
    <cacheField name="List No. HP yang terjual">
      <sharedItems containsBlank="1" containsMixedTypes="1" containsNumber="1" containsInteger="1">
        <s v="089684210008"/>
        <s v="085801200180"/>
        <n v="0.0"/>
        <s v="085732317400"/>
        <s v="085600627931"/>
        <s v="0895634210633"/>
        <s v="0895622995017"/>
        <s v="1.089673499234   2. 0895634252328"/>
        <s v="*0"/>
        <s v="089673499060"/>
        <s v="085738234995"/>
        <s v="085706883379, 085738234990"/>
        <s v="085706780196"/>
        <s v="0895622989306"/>
        <s v="089671862745 , 0895622989339"/>
        <s v="0895622998057"/>
        <s v="089671862742, 0895622989305, 0895622989319"/>
        <s v="085601242892, 085601243893, 085601242898"/>
        <s v="-"/>
        <s v="085641119022, 085641118997"/>
        <s v="085641118994, 089682005144, 085641118952"/>
        <s v="085641118993, 085641118894"/>
        <s v="085641118942"/>
        <s v="085737017953"/>
        <s v="085801199373, 085741322241"/>
        <s v="085801199358"/>
        <s v="085801199360, 0895634222436, 0895634222438, 0895634222435"/>
        <s v="085801199364, 085801199365"/>
        <s v="085877059579/085877059577"/>
        <n v="8.95703212129089E24"/>
        <s v="085806041608"/>
        <s v="089673062721, 089673062695"/>
        <s v="089673062712"/>
        <s v="089673062708"/>
        <s v="085742698339 , 085702836106"/>
        <s v="085857744497 (10Gb) , 085742698335 (10Gb)"/>
        <s v="085806040738"/>
        <s v="085742698368 , 085702836102 , 085806040733 , 085806040730 ,085806040731 , 085801200410 , 085801200411"/>
        <s v="085879056518"/>
        <s v="085879054875"/>
        <s v="0895635016222"/>
        <n v="8.95703212130089E24"/>
        <n v="8.95703212137089E24"/>
        <s v="085726877756"/>
        <s v="0895703212135"/>
        <s v="08572687760"/>
        <s v="085726888918.085731174382."/>
        <n v="8.57268777540857E22"/>
        <s v="089682619864"/>
        <s v="085738235261"/>
        <s v="6285706872455 , 6285706872474 , 6285706872475 , 6285706872473,6285706794482,6285706794483,6285706794481"/>
        <s v="085706808266 ,085706808279 085706808270 , 085706808275 ,085706808283 , 085706808284 , 085706808288, 085706808292 ,085706808303 "/>
        <s v="6285706808308 6285706808314 6285706808318 6285706808324 6285706808325 6285706808330 6285706808339 6285706808344 6285706808371 6285706808379 6285706808380"/>
        <s v="6285706808391 6285706808403 6285706808415 6285706808418 6285706808426 6285706808427 6285706808441 6285706808451 6285706808457 6285706808461"/>
        <s v="6285706808462 6285706808467 6285706808469 6285706808471 6285706808472 6285706808480 6285706808488 6285706808489 6285706808495 6285706808497"/>
        <s v="085726087226, 085726087220 , 085726087211"/>
        <s v="085726087388, 085726087180, 085726087235, 085726087278, 085726124987, 085725452171, 085726087243"/>
        <s v="085725452163 , 085726087236"/>
        <s v="085856047523 , 0895634211303"/>
        <n v="8.57261249780896E58"/>
        <n v="8.57254520780857E71"/>
        <n v="8.57254521030896E34"/>
        <s v="085741333561  ,085726088038 ,085726088037 ,085726088036 ,085741333277 ,085726087212 ,085726087565 ,085726087378 "/>
        <s v="085726087543,085725452152,085726124997,08526124988,085875037506,085726087156,  085726087602 , 085726087543"/>
        <s v="085875037546 , 085726087541 , 085741333426 "/>
        <s v="085726124944 , 085725452173 , 085726087540 , 085726124975 , 085725452169 , 085726087269 , 085726087161 , 085726124979 ,085743069118"/>
        <s v="0895634211303 , 085726124977 , 085725452091 , 085726087321 , 085726087375 , 0895634218793 , 0895634218794 , 085726088013"/>
        <n v="8.96814502030857E70"/>
        <s v="08587905625"/>
        <s v="085842036588"/>
        <s v="085842036586"/>
        <s v="085842015812/085842015815/085842015816"/>
        <s v="085842015986/085801224328"/>
        <s v="085842015934"/>
        <s v="081529282812/085879061493/085791173477"/>
        <s v="081529282811/089666835544/085801224278"/>
        <s v="0895635016220"/>
        <s v="0895635016234"/>
        <s v="085707752106 , 085707752144 "/>
        <s v="085707752103, 085707752119, 085707752116"/>
        <s v="085707751205, 085707751287"/>
        <s v="085707747321, 085707747270, 085707747339"/>
        <s v="085707747206,  085707747801"/>
        <s v="085707747739,  085707747208"/>
        <s v="085741170613"/>
        <n v="8.58012240890857E22"/>
        <n v="8.58124285870858E22"/>
        <s v="085812428774, 085812428775, 085812428764,085812428688, 085812428763,085812428705"/>
        <n v="8.56469134620856E46"/>
        <s v="085799969686‬,085646913455,085793330752‬"/>
        <s v="085812428671"/>
        <n v="8.58420155090858E22"/>
        <n v="8.58420158730858E154"/>
        <n v="8.58124286720858E22"/>
        <s v="1. 085601243485, 2. 085601243413"/>
        <s v="1. (085601243482) 2. (085707523278)"/>
        <s v="085641118248"/>
        <s v="085842036592"/>
        <s v="085842036576"/>
        <s v="085842036577"/>
        <s v="085842036539"/>
        <s v="085842036577  085712158704"/>
        <s v="085712160103 085712160128 085712233 085712233837085712233829 "/>
        <s v="085712233829 085712233837 085712233855 085712160128 085712160103"/>
        <s v="085842036539 085712159653"/>
        <s v="085712234506 085712235481"/>
        <s v="085643856478"/>
        <s v="085842015862"/>
        <s v="081529410757, 085801223458"/>
        <s v="081529436156, 081529436162"/>
        <s v="08542015576, 08584201408, 085842015645, 0895635043863, 085842015633, 085842015587"/>
        <n v="8.56029047500856E46"/>
        <s v="085799930302, 085738039337"/>
        <s v="085738039363, 085738039362, 085738039348 ,085738039347 "/>
        <s v="085738039335, 085738039334"/>
        <s v="085738039331 085738039338 085738039332 085738039341 085738039352 085738039329"/>
        <s v="085738039357 , 085738039355 , 085738039354,08573803942 ,085738047669"/>
        <s v="085738039344, 085738039328, 085738039336085738047671"/>
        <s v="085738039362, 085738047670, 085738047673, 085738047668"/>
        <s v="085738047717, 085738047718, 085738047713,085738047714"/>
        <s v="085738047715, 085738047716, 085712158768, 085712158757"/>
        <s v="085712235076, 085712159910, 085812235100, 085812235035,085812235097"/>
        <s v="085712158816, 085712234634"/>
        <s v="085712158784"/>
        <s v="085842015859"/>
        <s v="085741709397, 085741709395,085741709357,085741709358,085741709398"/>
        <n v="8.58420154950857E238"/>
        <n v="8.57429399760085E143"/>
        <n v="4.0"/>
        <n v="8.57911732500857E22"/>
        <s v="081529411995, 085812427885, 085812427768"/>
        <s v="085812428624, 085812428604, 085812428607 ,085812428601,085812428575, 085812428571,085812428583, 085812428572"/>
        <s v="085812428677, 085812428708, 085812428669, 085812428661, 085812428665, 085812427756, 085812427750, 085812428662"/>
        <s v="085812427762, 085812427764"/>
        <s v="085815427847"/>
        <s v="085842015925, 085842015501, 085842015496"/>
        <s v="085842015909, 085842015504, 085842015922, 085791173154, 085791173163, 085842015271, 085842015968, 085842015860, 085842015987, 085791173136, 085791173151, 085842015502, 085842015271, 085842015971"/>
        <s v="085812427841, 085812427842, 085812427847, 081529410669, 085842015847, 085842015866"/>
        <s v="085706808921"/>
        <s v="085726095293, 085726136810, 085726095294, 085857712223"/>
        <s v="085741588842, 085726136780, 085726885987"/>
        <s v="085738208594, 085875066393"/>
        <s v="085875066364"/>
        <s v="085726885984"/>
        <s v="085712158277"/>
        <s v="085712158468"/>
        <s v="085712255733"/>
        <s v="081515123965"/>
        <s v="085641119044"/>
        <s v="085641119042, 085641119045"/>
        <s v="085878086918, 085878086915"/>
        <s v="085878086915"/>
        <s v="085815608952"/>
        <s v="085726877729 - 085726877739 - 085726877737"/>
        <s v="0895703212128 - 089682743804 - 085726877727"/>
        <s v="0895703212128 - 085726877727 - 089682743804"/>
        <s v="085726877725 - 0895703212147 - 0895703212131"/>
        <s v="0895703212127 - 0895703212123 - 0895429631773 - 0895635163253 - 0895635163246 - 0895703212724 - 0895429631875"/>
        <s v="085726877728 - 085726875553 - 085726877731 - 085726875556 - 085726875558"/>
        <s v="085815608957 - 085700948653"/>
        <s v="085726877724 - 085726877734"/>
        <s v="085743602938 - 085726877738"/>
        <s v="089682619888"/>
        <s v="085726899957 - 085726900058 - 085726900050 - 085815609695"/>
        <s v="08526900057 - 085726899978 - 085726899986 - 085726900080 - 085726900069"/>
        <s v="085726899959 - 085726899979 - 085726900053"/>
        <s v="085726899981 - 085726900091 - 085726900019"/>
        <s v="085706800476"/>
        <s v="085706800480"/>
        <s v="0895629541838"/>
        <s v="085726955535, 085726955525, 085726955540, 085726955520"/>
        <s v="085726955515, 085726955505, 085726955538"/>
        <n v="8.95635163254089E63"/>
        <n v="8.57269555050857E46"/>
        <n v="8.57269555190857E58"/>
        <s v="085726955536, 085726955537"/>
        <n v="8.57269555320896E22"/>
        <n v="8.57269055580857E22"/>
        <s v="085726900079,089682619970, 089682619960"/>
        <s v="085728009454 085602898261 085602898260"/>
        <s v="085602899546 085602899545"/>
        <s v="085602899544 085602899539 085602899540"/>
        <s v="Lupa"/>
        <s v="0895623101378"/>
        <s v="0895622989311"/>
        <s v="0895622989317"/>
        <s v="085842036535"/>
        <s v="085842036534"/>
        <s v="085712159158, 085712159161, 085842036537, 085842036536"/>
        <s v="085785765575 085785765574 085785765573 085785765572 085785765571 085785765570 085785765569 085785765568 085785765565 085785765564 085785765563 085785765562 085785765561 085785765549 085785765548 085785765546 085785765545"/>
        <s v="085785767094 085785767095 085785767096 085785767097 085785767098 085785767099 085785767101 085785767102 085785767103 085785767104 085785767105 085785767106 085785767107 085785767109 085785767110 085785767112 085785767113 085785767115 085785767116 08578576"/>
        <s v="081515123944 / 08151515123946 / 081515123957 / 081515123956 "/>
        <s v="08515123951 / 085877060982"/>
        <s v="085877059595"/>
        <s v="084877059570 / 085877059571"/>
        <s v="085748881914"/>
        <s v="(085878086411) (085878086415)"/>
        <s v="(085601243412) (085748881931) (085601243409)"/>
        <s v="081515125568"/>
        <s v="081515125489"/>
        <s v="081515125468"/>
        <s v="(081515125517) (085748881917)"/>
        <s v="085738039309, 085738039308, 085738039300, 085738039299, "/>
        <s v="- 085738039320 - ⁠085738039316 - ⁠085738039297 - ⁠085738039298"/>
        <s v=" - 085738039313 - ⁠085738039312 - ⁠085738039314"/>
        <s v="085738039305 085738039301 085738039307 085738039304"/>
        <s v="085738039302 085738039324 085738039327 085738039317"/>
        <s v="085738047659 085738047658 085738047646 085738047650"/>
        <s v="085738047645 085738047647 085738047656  085738047649"/>
        <s v="085712158671 085738047649 085712158572 085738047661 "/>
        <s v="085712158547 085738047698 085712158178 085712158113 "/>
        <s v="085738047698 085738047651 085738047698"/>
        <s v="085738047703 085738047702 085738047704"/>
        <s v="085712235027 085712234871 085712234728 085712234735"/>
        <s v="085712234803 085738047706"/>
        <s v="085738047710 085738047707"/>
        <s v="085700543099"/>
        <n v="1.0"/>
        <s v="1.085701771704 2.085729359658 3.085701771629"/>
        <s v="1.085701771652 2.085857727776 3.0895634203866"/>
        <s v="085701771702"/>
        <s v="085701771802"/>
        <s v="085701771613"/>
        <s v="1.085701771687 2. 085701771607 3.085701771654 4.085701771693"/>
        <s v="1.085701771693 2. 085701771590"/>
        <s v="085726940576"/>
        <s v="1.085729359662 2.085701771627 3.085701771580"/>
        <s v="1. 085701771701 2.085701171635"/>
        <s v="1.085701771680 2.0895634203870 3.085701771709"/>
        <n v="8.58124274290896E58"/>
        <s v="085812427742, 085812428547, 085812428548, 085812428574, 085812428565, 085812428557,  085812428554, 085812428541, 085812428540"/>
        <s v="085812427780, 085812420626"/>
        <n v="8.58124227757085E59"/>
        <n v="8.58124277840858E46"/>
        <n v="8.58124277860858E34"/>
        <s v="085842015930, 6285801224329"/>
        <s v="085791173135, 085791173164,085842015961,085842015961,085791173172,085791173148,085791173122,085791173171,085842015974,085842015975,085842015979,085842015503,085842015805,085842015912,085842015808, 085842015806"/>
        <n v="8.15294023280858E35"/>
        <s v="08564913282"/>
        <s v="085791173599,085791173588,085791173161,085791173165, 085791173166,085842015361"/>
        <s v="085640075130, 089525608574, 089699089887, 0895423716868, 0895321446509, 089630640976, 089514775897"/>
        <s v="."/>
        <n v="8.57383218870857E22"/>
        <s v="085728001192"/>
        <s v="085728001175 0895629534057 0895629534058 "/>
        <s v="0895629558424  0895629558422"/>
        <s v="085842015464"/>
        <s v="089681998373"/>
        <s v="085707120432,081529282787 ,085791173871"/>
        <s v="089563252327 , 0895633844390, 089509396676"/>
        <s v="089682619822, 089682618955"/>
        <s v="089671862740, 089671862748"/>
        <s v="085875066391, 085726096382, 085643757173"/>
        <s v="089667165522"/>
        <s v="0895635071214 , 085806040734"/>
        <s v="List No. HP yang terjual"/>
        <s v="081918190352"/>
        <s v="078035180524"/>
        <s v="0895622995018"/>
        <s v="1.089673499234   2. 0895634252329"/>
        <s v="*1"/>
        <m/>
      </sharedItems>
    </cacheField>
    <cacheField name="List No. HP yang melakukan isi ulang">
      <sharedItems containsBlank="1" containsMixedTypes="1" containsNumber="1" containsInteger="1">
        <s v="085606633231"/>
        <s v="085859545417"/>
        <s v="1. 085733621125 2. 085749549485 3. 085645452029 4. 085773769634"/>
        <s v="1. 089504744464 2. 085536930726 3. 0895399488277"/>
        <s v="1. 085732317400 2. 085806042745 3. 08574177532 4. 089507312455"/>
        <s v="085755857899"/>
        <s v="08564515 4944 085791943323 0895 42 37 13578 0895639052073   085806555510  "/>
        <s v="0895411958998  0895402526994  085646539945  085741116861  0856 04427779  08563423235  087856955350 085649272163  085738677184  085730127697 085730127697 "/>
        <s v="085649720018 085707964322  087842221767 085743474651 087812271027 085852903096 08989894602 085854370752  085701754071 085707964322"/>
        <s v="089602333258 089602338594 085725110191"/>
        <s v="*0"/>
        <n v="0.0"/>
        <s v="089654354838"/>
        <s v="089696877803"/>
        <s v="0895422419006, 085748341045, 0857855665693, 085733190124, 085878074185, 085731146817, 085693599846"/>
        <s v="0895403802132, 085732743451, 085710645629, 085706707880, 085784280162, 085732743451"/>
        <s v="08976460818, 08983330546, 085732743457, 085875113418, 085649140765, 08970520811"/>
        <s v="085748341045"/>
        <s v="089672931460, 085732743451, 085743593774, 085732743451, 085852982780, 085692124364, 085647455172, 08970520811, 08976460818, 08976460818(2x)"/>
        <s v="0896363880119, 089678203326"/>
        <s v="089609263939, 0895403151465, 08988105485, 0895428845053, 081460401468, 0857-4027-5549, 0895346194409, 0896-5360-2383"/>
        <s v="0895400754428 , 0895-0194-3010 , 089521401942, 08988150557, 0895622190587, 0895414352305, 085815018400, 089693817430"/>
        <s v="089515479988, 089682579549, 085713033435, 0895422570874, 089688049896"/>
        <s v="081515835028"/>
        <s v="089514978481, 081515835028, 085853262146"/>
        <s v="-"/>
        <s v="085875411136"/>
        <s v="- "/>
        <s v="085737017953"/>
        <s v="085748587728"/>
        <s v="085817703765, 085755609086, 085856742001, "/>
        <s v="085784020541, 085649526465, 085814755538, 0895639170022"/>
        <s v="085791451547"/>
        <s v="085549080363, 081456141167"/>
        <s v="0854324567899"/>
        <s v="085855422614, 085706669426,08776555692,085607135937,058743068509,0895364719276"/>
        <s v="085733878622"/>
        <s v="085801198978"/>
        <s v="085600583738(38.000) , 085731040589(38.000) , 081515992162(41.000) , 085707639409(38.000) , 085713181564(82.000) , 08570177645742.000) , 08977228454(56.000) , 0895324757553(83.000) , 089524693590(38.000) , Voucher AON 33.0000"/>
        <s v="085746557067 - 24gb 62.000 , 085749020509 - 7gb 38.000 , 085792919026 - 16gb 52.000 , 085857265827 - 24gb 62.000 , Voucher 7gb 38.000 , Voucher 3 7gb 38.000 , Voucher 3 42gb 83.000 , 085869244657 (Pulsa 50rb)"/>
        <s v="085606657868 - 7gb 37.000 , 085810388726 - 10gb 41.000 , 085704009184 - 10gb 33.000 , Voucher 42gb 83.000 , 085600634718 -50gb 90.000 , Voucher 24gb 60.000"/>
        <s v="085607664310 - 7gb  38.000 , 085791238442 - 16gb  52.000 , 085607085012 - 30gb  72.000 , 085706157800 - 66gb  102.000 , 085748491916 - 7gb  38.000 , Voucher Three AON 6gb  38.000 , Voucher Three 42gb 83.000 , Voucher Three 7gb  38.000"/>
        <n v="8.58676858680812E22"/>
        <s v="085867685868,"/>
        <s v="—"/>
        <s v="0895635163433 ,08989718016,0895328180800"/>
        <n v="8.96819969450897E33"/>
        <n v="8.96626805010895E35"/>
        <s v="+62 815-1737-7727"/>
        <s v="081567895857,"/>
        <n v="8.56011430920895E24"/>
        <n v="8.95167758640895E23"/>
        <s v="6285852710931 , 6285755758648 , 6285785029281 , 6285646308200 , 6285785971492 , "/>
        <s v="6285808511393 , 628560766334 ,6285745483971 , 6285730284842 , 6285607577621 , "/>
        <s v="085731209887 , 085895404542 , 085855024437 , 085791956458"/>
        <s v="6281517528145 , 6285646058100 , 6285736015342 , 6281558444977"/>
        <s v="6285895923687 6285606206691 6285646306890 6285604559286"/>
        <s v="6285713893554 6285792530420 6285468994563"/>
        <s v="085850652511 , 085701661530 , 085857515955 , 085607752011"/>
        <s v="089616806185 , 089505534390"/>
        <s v="089518113757 , 085704651634"/>
        <n v="8.95347539178089E34"/>
        <n v="8.56077968720896E22"/>
        <n v="8.96121143360857E35"/>
        <s v="085731609592 , 085648893098 , 085233617255"/>
        <s v="085748485194 , 089678940114 , 08998808226 ,085853917577,"/>
        <s v="085780174692 , 089616197605 , 089678937894"/>
        <s v="089525563795 , 085704010338 , 089616820381 , 085746731610"/>
        <s v="085600545868 , 0895398337222"/>
        <s v="089690209551,085842927936 , 085847527188"/>
        <s v="085842036572"/>
        <s v="085842036586"/>
        <s v="+"/>
        <s v="085738663017/085640655161/08570105586/085759812312"/>
        <s v="085738663017/085640655161"/>
        <s v="085876164223/085819848081/085799063721/085869283671"/>
        <s v="0895370161838/085837578171/085780738980/085866941959/085643944113/08568239867/0895383240672/085701687078/085802782996/085640595362"/>
        <s v="081575706600/085640830710/085712457980/085712591611/085641984572/085701518629/085640000925/085877047264/085712591611/085759812312"/>
        <s v="089502505183"/>
        <s v="0895635016220"/>
        <s v="085600157738"/>
        <s v="0895635016234"/>
        <s v="081556689175, 085727359763, 085799993295, ‪085700804330‬,‪085701991846‬"/>
        <n v="8.56411963840858E34"/>
        <s v="085812428755, 085812428546, 085812428602"/>
        <s v="085729204111,085700009120, 085731200066‬,‪085740306663"/>
        <s v="085878286483,‪085868483582‬,‪085793330752‬"/>
        <s v="‪085743489766‬,085729818109 085753852005,085726111209"/>
        <s v="085729818109,‪085842908467‬,‪085812383603‬"/>
        <n v="8.95245229290896E46"/>
        <s v="0895326372978,089519326518,0895422947337,085799993295,‪085848640405‬"/>
        <n v="8.96622020100856E34"/>
        <s v="085601243465"/>
        <s v="085739074250"/>
        <s v="1.(08973875431) 2.(081515528723)"/>
        <s v="085603472060, 0895342284435, 089687572382, 085643856478, "/>
        <s v="085865947480, 085800110310, 081545617620, 081575497466"/>
        <s v="085842015504, 085842015869, 085791173153, 085791173152, 085842015960, 085842015964, 085752024452, 085842015966, 0858702171538, 085842015927, 08157683435, 085842015923, 085842015980, 085842015272, 085652233575, 085842015499, 085878600507, 0859653943807, 08"/>
        <s v="085643445438, 08580408627, 085640738698"/>
        <s v="085606598298, 085747772350, 085600258240, 085829168163, 081575713229"/>
        <s v="085726794462, 085702270637, 085876389012, 0857420352122, 0895360261743, 089654634050, 085702211158, 085786093248"/>
        <s v="1.085743486337, 2. 085738548876"/>
        <n v="8.15683475660895E34"/>
        <n v="8.56277372208564E131"/>
        <n v="8.56415230120895E118"/>
        <n v="8.95403146998089E85"/>
        <n v="8.15886008508952E91"/>
        <s v="085645097434, 085600910705, 2001408005999, 085600910705, 200149050120  maaf beberapa cust tidak bawa hp dan tidak hafal nomor, jadi saya input kartu seri dari voucher nya"/>
        <s v="085802638984, 085875085551, 085702750945, 085879558121, 085848454908, 085803440125, 085643063749, 085800647040, 085725445439, 08562693131"/>
        <s v="2001499543000, 085641898414"/>
        <s v="085640229659, 089504994548, 085700935481, 085640881919, 085642215597, 085712407016, 085700501175"/>
        <s v="085876920004, 085700501175"/>
        <s v="085759730800, 085867155825, 085741927879, 085848454908, 085692776779, 085842726636, 085641275876"/>
        <s v="085842726636, 085877765199, 085877765298, 081575456238, 085600816489, 085728776814"/>
        <s v="*Tidak mencatat nomornya"/>
        <s v="*Tidak mencatat nomornya "/>
        <s v="085648980838"/>
        <s v="Voucher tri dan im3"/>
        <s v="Voucher "/>
        <s v="085725030957, 085735328384, 085176735927"/>
        <s v="085725340240, 085606352495, 085736057392, 085608818480, 085726096835, 085641384131, 085774500309, 089601629853, 081559820419"/>
        <s v="085708085140, 0895805332356, 085736116891, 085648339773, 085784913705, 085706618626"/>
        <s v="085607174881, 08983875554, 085788135085, 081615738928, 085850142742, 085895373835, 085853495770"/>
        <s v="085792632135, 085745337242, 089530452176"/>
        <s v="  085738260429 (7gb) - ⁠085843969587 (50gb) - ⁠085732349373 (17gb) - ⁠085785924800 (7gb/F1) - ⁠087857247746 (5gb) - ⁠087848335416 (7gb) - ⁠089523026019 (60rb) - ⁠085792154558 (26gb/f1) - ⁠089523026019 (60rb) - ⁠089512027890 (10gb/happy) - ⁠089699900971 (7"/>
        <s v="085712158496"/>
        <s v="085712158303"/>
        <s v="085712234794"/>
        <s v="085738684544"/>
        <s v="085643217241"/>
        <s v="085842908795 - 085725467322 - 085741907867 - 0895328248974"/>
        <s v="085601230285"/>
        <s v="085602664267 - 085642100138 - 085727892269 -085641122496 -0895336260795 - 085815030148"/>
        <s v="089633597208"/>
        <s v="08980186601, 089654851442"/>
        <s v="08983888189, 08985488532, 085779157927, 085730566552, 0895622624310, 085640511129, 085726160161, 085733240253, 085851588809, 085731243277"/>
        <s v="089654851442, 089855494224, 081615144796, 08976851394, 085756035249, 085785217628, 085749659078"/>
        <s v="085617002529, 085607347015, 089815774420, 089930334835, +7 voucher "/>
        <s v="089637875339, 0895380560077, 085756035249, 085749659078, 089506051000, 089697188783, 085752932945, 0895367297184"/>
        <s v="085726955520, 085726955525"/>
        <s v="Voucher"/>
        <s v="0895414437057"/>
        <s v="Sy minta Tidak dikasih nomer y cust"/>
        <s v="085731270290 / vocher:8581425515771342"/>
        <s v="isi ulang vocher "/>
        <s v="vocher "/>
        <s v="085733555770"/>
        <s v="Serial number = 2001370519151"/>
        <s v="(085766751983) (085878086195) (085855578131)"/>
        <s v="081555464112"/>
        <s v=" - ⁠085738039312 - ⁠085738039314"/>
        <s v="08156566300"/>
        <s v="08156564500"/>
        <s v="08156566300 08156564500"/>
        <s v="1.085701771704 2. 085729359658 3.085701771629"/>
        <s v="1.085704287377 2.085852639357 3.085606122297 4.081555905839 5.085812316559 6.088980452358"/>
        <s v="1.085606123994 2.08165433817 4. 085816040420 5.089681558073"/>
        <s v="1. 085657063238 2.085722675397 3.085655224465 4.085645123163 5.085735341559 6.085607908511      7.085792440461 8.085704665831 9. 085850210005 10. 081553195092                   Three 1. 0895337261499  2,089636952745  3.089672110959   4.089677546009"/>
        <s v="085604679841"/>
        <s v="1.085806230627 2.081515762838 3.085729740688 4.085852351699 5.085843496980 6.085755145471 7.085855619476 8.085648641559"/>
        <s v="1. 085604477718 2. 081553863944 3.085850574206 4.085815664035 5.085806250225 6.08155137341 7.081554250363 8.081528644218"/>
        <s v="1. 085704434846 2. 085718488441 3.0858502100005 4.085815062546 5.085784914025 6.085800578927 7.089639500306 8.089679131155 9.08982820104 10.08976859400 11.089502460075"/>
        <s v="089679128050"/>
        <s v="1. 085806254079 2.085708503771 3.085850612790 4.085607061128 5.085750550990 6.0857733889144 7.085852663737 8.081554250392 9.08816201983 10.0895623387860"/>
        <s v="1.0857704170753 2.081559368428 3.085607887529 1.089526394028 2.08990872771"/>
        <s v="1.085604001005 2.085733530802 3.089676477164 4.08967878363 5.0895332045511"/>
        <n v="8.56554390290814E34"/>
        <n v="8.58660000720858E23"/>
        <s v="085174488518"/>
        <s v="089535967035"/>
        <n v="8.15750279190896E22"/>
        <n v="8.96768062540896E34"/>
        <n v="8.95406561686089E36"/>
        <n v="8.96299712650858E46"/>
        <s v="."/>
        <s v="089525608574"/>
        <s v="08952713817"/>
        <n v="8.95309331110856E21"/>
        <n v="8.96746621940856E34"/>
        <s v="085748992304, 085697571283, 085604654801, 085732743457"/>
        <s v="085791273297 0895645151639 085746463718  0895625362233  085746463718  "/>
        <s v="0896 750 30502  0858 9578 6601  085707076372  085710235558  0898 4577618"/>
        <s v="0895421846926  08967323 2061  085 64 655 8750 089516186430  085842779728  089518963484"/>
        <s v="0815515111695  085895336839 085704418070  089654632789 0895621109265 "/>
        <s v="085866843519/081548118590/089541778996/089675300205/085876193976/0895367093967/085740759406/085647572500/089721022666/081568406809/089536036732/085728628962/085803685448/085741634877/089526943131"/>
        <s v="0895049987197,0895320603173, 0895611493520"/>
        <s v="085709980612 , 089673499234,08976705194,0895622995017 "/>
        <s v="085655109432"/>
        <n v="8.56404562210858E68"/>
        <s v="085792005389"/>
        <s v="085540580396, 085842923963, 085728546164"/>
        <n v="8.95379005618083E48"/>
        <s v="089647322988, 089628115730, 085601836976, 089688049896,08996717823,0895622989306"/>
        <s v="085859032985, 085875066365, 085791207591, 085712409512, 085867833510, 085733504434, 085649814079, 085800113920, 085850142742, 0895384717100, 085785753928"/>
        <s v="0895428893183"/>
        <s v="1.085748701705 2.085606607854 3.085773914601 4.085869240729  5.085645123163   6.085735341559  Re Buy Three-  1.08973708488"/>
        <s v="085808403767 , 085706037804 , 085607027524 , 08563053412 , 089657422333 , AON 9Gb , Happy 7Gb  "/>
        <s v="List No. HP yang melakukan isi ulang"/>
        <s v="086112457603"/>
        <s v="086365369789"/>
        <s v="1. 085733621125 2. 085749549485 3. 085645452029 4. 085773769635"/>
        <s v="1. 089504744464 2. 085536930726 3. 0895399488278"/>
        <s v="1. 085732317400 2. 085806042745 3. 08574177532 4. 089507312456"/>
        <s v="085652170381"/>
        <s v="085548482863"/>
        <s v="8564516 4944 085791943323 0895 42 37 13578 0895639052073   085806555510"/>
        <s v="895411958999  0895402526994  085646539945  085741116861  0856 04427779  08563423235  087856955350 085649272163  085738677184  085730127697 085730127697"/>
        <s v="85649720019 085707964322  087842221767 085743474651 087812271027 085852903096 08989894602 085854370752  085701754071 085707964322"/>
        <s v="89602333259 089602338594 085725110191"/>
        <m/>
      </sharedItems>
    </cacheField>
    <cacheField name="Upload Foto Kepulangan dengan Time Stamp (untuk Bukti Kepulangan)" numFmtId="0">
      <sharedItems containsBlank="1">
        <s v="https://drive.google.com/open?id=1eNqXWrNDv_TnHPJ4gi2yqCPCrKy3kLYH"/>
        <s v="https://drive.google.com/open?id=1d6-B-E9J0gX_4S5aKXSfyt9Wo1iPv_I8"/>
        <s v="https://drive.google.com/open?id=1XMWLLwp8sYDmiZfqc4ml80Iy5XFmhoHG"/>
        <s v="https://drive.google.com/open?id=1tblnvsy7V_eeK8REceVd2XhOFXGuQDWd"/>
        <s v="https://drive.google.com/open?id=1bdKbl-eyqe8HFVvOXN4AN43wYnocTmod"/>
        <s v="https://drive.google.com/open?id=1Y9HypKMoyK4jtoK018cY-DiJrZcOaKUr"/>
        <s v="https://drive.google.com/open?id=1LhJiPiK4SCVm78PwMiSf8erVINOog32v"/>
        <s v="https://drive.google.com/open?id=1KYCYjs9raBFhFi5MYJdOjEeborPg04f7"/>
        <s v="https://drive.google.com/open?id=1dmCE41-tobTZhqXyLfPyzsAWQSKbglwY"/>
        <s v="https://drive.google.com/open?id=1YnyyX0uk2TsPolRALJLkkfzJbRQgNRAe"/>
        <s v="https://drive.google.com/open?id=15VEFiXchewIvCDCmkfAjq1DdkdZhfUU2"/>
        <s v="https://drive.google.com/open?id=1gjS8pZYc6-gNFQSk-GByhtMt0cr6d022"/>
        <s v="https://drive.google.com/open?id=1DI-LFeWXAZKtDtjlLq7xntF8AWljNCZz"/>
        <s v="https://drive.google.com/open?id=17u7JCJMyBZ0fpgtUdJknpl2f3PZk3IAw"/>
        <s v="https://drive.google.com/open?id=1n8jJ10CZ20V-szo8IQw3N2S2xgsg342H"/>
        <s v="https://drive.google.com/open?id=1s4zAe9Z1BL3S6RMLZS15P7kxe3pFEALd"/>
        <s v="https://drive.google.com/open?id=1E8MnvmXq977i0hskQ10LmX9qvqIjgl9g"/>
        <s v="https://drive.google.com/open?id=1sI3bQyv2-wubbWmWWcHynwlW-gCfPoAT"/>
        <s v="https://drive.google.com/open?id=1TlnlOStGRsQpeKHXLgZfJmbYSfS5-TpJ"/>
        <s v="https://drive.google.com/open?id=12EznUPtNDEhAE2A3FrQk9EcSUqEPIYRp"/>
        <s v="https://drive.google.com/open?id=1LM-1_OKv3apzvpJvknrAJfBsUEyfnayN"/>
        <s v="https://drive.google.com/open?id=1y8lG_79Anz6UZXoTmNkHu8NFvJXjXjER"/>
        <s v="https://drive.google.com/open?id=1ThoO1n--rtL3qr964FbUNA79XzaXbsaS"/>
        <s v="https://drive.google.com/open?id=1fPZd5danS3zON9d6v285XBBaOxDqsQ5k"/>
        <s v="https://drive.google.com/open?id=117F_2ckmByK4B8NjV6HuYRtz2yS45crb"/>
        <s v="https://drive.google.com/open?id=1VmReSCvbuSJPSnxLPO-gNW5cnBH6-NJ3"/>
        <s v="https://drive.google.com/open?id=1hlAJxHVjOE8gYP-5JlhOs1_ufl7xo-CU"/>
        <s v="https://drive.google.com/open?id=1TR0J4ERtj0DP0NKjdw0f5S-eoZ3c1V8X"/>
        <s v="https://drive.google.com/open?id=1CHlNpsshA-KEUAhe2TwuLWcSqeNX1oca"/>
        <s v="https://drive.google.com/open?id=1qBJZr2R8HgCdKx553f2_nx1SMKvtAWUY"/>
        <s v="https://drive.google.com/open?id=1XNWk20nFEkpGUlOUabbNQrGD5R36xMCy"/>
        <s v="https://drive.google.com/open?id=1W-tstGIbEeSbnzb453LtfJfTuEpbdzY0"/>
        <s v="https://drive.google.com/open?id=1KLQh8OOHMdsUKPtdC1qkq33E8JIWEw9t"/>
        <s v="https://drive.google.com/open?id=1p5NPQ83wH3nQWxjwswQ6AMCMSyJ9-Q22"/>
        <s v="https://drive.google.com/open?id=11-0M__41-VDWJe1dylwxBDXwzWCiFnXB"/>
        <s v="https://drive.google.com/open?id=1ETkOJCgpMMbqb90iRloJtYtiyhfZA51E"/>
        <s v="https://drive.google.com/open?id=18zIwk_TNW7-xeqOhZ0fKo5cF6t3R0Fvj"/>
        <s v="https://drive.google.com/open?id=18FPI3y85s4T8sjTJfq3NTEfTClUdoAv2"/>
        <s v="https://drive.google.com/open?id=1oAYcxi6_D4Eatv8udLhArQIbN1WjM9uB"/>
        <s v="https://drive.google.com/open?id=1CkfzqYXEFqvipkwGvUGGpovAA6Tp2vZe"/>
        <s v="https://drive.google.com/open?id=13yfzRHYVwjhiFO0xyLyLVudk-l5R9reK"/>
        <s v="https://drive.google.com/open?id=1f_SVntkSwYGcSbkXyLkfu3ZNoxQo1wpM"/>
        <s v="https://drive.google.com/open?id=1OSNsGipjSMaMpT6P3lopSs3xzYtPznqZ"/>
        <s v="https://drive.google.com/open?id=1CNxbLC8dPhzAHJj6-ge6r-em_SBurATo"/>
        <s v="https://drive.google.com/open?id=1t4ZVYfMc4DKwQmJjRf_qICrxMn1YpxXV"/>
        <s v="https://drive.google.com/open?id=1AXUU8azrcGtNB4kmU4p6ZkfsYtXlIGEo"/>
        <s v="https://drive.google.com/open?id=1AqHQL2ECVhBNwO5BMy7DZ-I0Fgb3O2BE"/>
        <s v="https://drive.google.com/open?id=1Dufv0XW0yxNORRjkcfUuukZqCpYA1KOo"/>
        <s v="https://drive.google.com/open?id=1L1toLE6XXcf_-EAvBV8YNmDegkktvXu0"/>
        <s v="https://drive.google.com/open?id=11gOW7EMseXBeG6aSX1mgZ4trCF0vC2S-"/>
        <s v="https://drive.google.com/open?id=13V8lmGMyjiF-ybG33GSIFhoXQ3Ejh-CI"/>
        <s v="https://drive.google.com/open?id=1wrMHIV5tmVWl0h41ECdQgGmSHufrNk2r"/>
        <s v="https://drive.google.com/open?id=1D5VDyvtttScJlIcDiCnF0kyIJrWvufCi"/>
        <s v="https://drive.google.com/open?id=1MxHvdcsGFVJLPYAzgmw9BBSW5d-WF30i"/>
        <s v="https://drive.google.com/open?id=1vrqLsvaPWuS8yid3vTue-x8Uo2bstMqG"/>
        <s v="https://drive.google.com/open?id=1TqpMuS30QE7YmhFnMrO5ChmFzwhQ7Pso"/>
        <s v="https://drive.google.com/open?id=1ddagwiMiQZmJXV2CrUCTLwSSYihE-Or6"/>
        <s v="https://drive.google.com/open?id=1ojvsgi8v8FL6zucM-t7IHDorSrkyM3eQ"/>
        <s v="https://drive.google.com/open?id=1MN5BZTEZ4quVNQU_AcxQvAV7DHgCs5j9"/>
        <s v="https://drive.google.com/open?id=1TQDD7nPRJKxy9mz8QI5NnmSWxVqMd4Qa"/>
        <s v="https://drive.google.com/open?id=1SMA6xhZc6lFqv0ivnzVbSgrGT_bni8Jj"/>
        <s v="https://drive.google.com/open?id=1TZPhR1FU4Op4Y_RD1AwWYWGDWxjPU2Lu"/>
        <s v="https://drive.google.com/open?id=1ri2b910qi3AGtnnw4mUyTAh1ZVNtyGzq"/>
        <s v="https://drive.google.com/open?id=1mowx6nOyVIRxhyQBlTX7IQEIbykLDDPo"/>
        <s v="https://drive.google.com/open?id=1ShXcCvFkOAsaP_zPLEjTSK_B1y1FBDqH"/>
        <s v="https://drive.google.com/open?id=1Om_2kjoU-3xE5RPGz3_n88UkOleGuIMx"/>
        <s v="https://drive.google.com/open?id=1gQQzXjhmj0pwXbE0IAKe_wizZ2OBmPT_"/>
        <s v="https://drive.google.com/open?id=1hEXzcANVq61RdRa2Oi5rfZXG_LQu5Mlp"/>
        <s v="https://drive.google.com/open?id=16QZacA4zCKPmW5DN1hO3YDA02wqHACD3"/>
        <s v="https://drive.google.com/open?id=15kOmtyIGYgTMGlKWL8WnRX8gnKXCpN7p"/>
        <s v="https://drive.google.com/open?id=19Cp1V9GPu1Dh4uhuEAYVwhAGAopzxe3i"/>
        <s v="https://drive.google.com/open?id=1gFT3mgXQsW40Ti04pLiHKEE1-qczsyee"/>
        <s v="https://drive.google.com/open?id=1CSNqSqqkqy0dX30H8ZcUmEJUO5HZSKBV"/>
        <s v="https://drive.google.com/open?id=12s6-v-Lqgc0yuhA1Apj6tvw0hLL4xtzH"/>
        <s v="https://drive.google.com/open?id=1oC1n8ihD9GXUp-ijKuB_2WW2b9-HCpJg"/>
        <s v="https://drive.google.com/open?id=1kaTUs2XguPNnZtVdg-0npfsIYitscAPr"/>
        <s v="https://drive.google.com/open?id=1B0_T7kWXX2LfXupoJetxCNJffw4nTj4h"/>
        <s v="https://drive.google.com/open?id=1cnyAbFpNL6kd19fTsu_3skS61JsUJ4PX"/>
        <s v="https://drive.google.com/open?id=1ZOd7W1KxEmFmg_ARE16dus6KqYSu6ffA"/>
        <s v="https://drive.google.com/open?id=1GhszfX7XXFdmDbzOtIHXr17SMc-6IDv9"/>
        <s v="https://drive.google.com/open?id=1Bmv9ci0WWb0df-GoZ15tAVrLi_H7S5tS"/>
        <s v="https://drive.google.com/open?id=10ul78cReRB5eNCOxnbVYDwlSl9mYFL3P"/>
        <s v="https://drive.google.com/open?id=1_dLZx2XA1QCRo2TKNdyiX__iRNKKbVYy"/>
        <s v="https://drive.google.com/open?id=1AGNU8jOROV7k_ddH2-bhXusmGDqp97OB"/>
        <s v="https://drive.google.com/open?id=1jvUtKdOIGaXr0K2IQX58dN_BsQ6G_5o7"/>
        <s v="https://drive.google.com/open?id=10kccmgafFDiTJd3K_QLzhIEbm8NpfItf"/>
        <s v="https://drive.google.com/open?id=1yOIl4wZrMH5_g3MhdVkPJeh9DxfnTdi2"/>
        <s v="https://drive.google.com/open?id=1YWw7AZQEhGTaMTyrVnZYiZay4ok5vEYb"/>
        <s v="https://drive.google.com/open?id=1LS257a2Y0I7Nwy65KhSA4nDELdyVJ-JW"/>
        <s v="https://drive.google.com/open?id=1cXQHSrCr2pQOk7L9jNPEMM0gUvs7Kogq"/>
        <s v="https://drive.google.com/open?id=19yoBl8jc2ysWPxoSUI0Q9r_kfHlojHHx"/>
        <s v="https://drive.google.com/open?id=1I7uClppzI_L3H6oB5kAyWj5P9mpVabc_"/>
        <s v="https://drive.google.com/open?id=1g5kah-uBIdp7CF0bbDolI-c6Go0-CYpm"/>
        <s v="https://drive.google.com/open?id=1jF-SGHVdUB2B0b9mHOSdrFtEjHA26wqY"/>
        <s v="https://drive.google.com/open?id=1elHLLGrAR22J-QKpGj5W1SKyRagN_eSb"/>
        <s v="https://drive.google.com/open?id=1f1hmUaqNFKKnWC23VMXNQWHjKvYm1-Z-"/>
        <s v="https://drive.google.com/open?id=1RXEiBe-9Xbkbqk_mqODjwaq3yk0z3fc2"/>
        <s v="https://drive.google.com/open?id=1GsVIcQhieEc6XAzKQU8Wi-7VxgfQKlkV"/>
        <s v="https://drive.google.com/open?id=1zBzP8hcKC0fYXzmKY7RV4aJaTMDj1dS7"/>
        <s v="https://drive.google.com/open?id=1kvH6919Exzl0gGgC4uMW3BjBrmOpAUFG"/>
        <s v="https://drive.google.com/open?id=1wK9foCGRxU_-c2JztKnEX4UQxFijO78j"/>
        <s v="https://drive.google.com/open?id=1PYYRB4xtOhQGYAXhv0DAOnhv3m0Rnkxy"/>
        <s v="https://drive.google.com/open?id=1_jcXSInpElHb1fS4ttHRQrYGFCqtiKiE"/>
        <s v="https://drive.google.com/open?id=17o1q6Weg7MK-2RjfeUK0AgsNiHjyHewY"/>
        <s v="https://drive.google.com/open?id=1ltj3GBUQmxRXH6OP0rHSnEDYw-_WW4yL"/>
        <s v="https://drive.google.com/open?id=1tGeWKr4PrW4H4rofz2Aw2wWaxuSUFQzU"/>
        <s v="https://drive.google.com/open?id=1TWMBIUG797cL0PgrlF-zmw3o0FG501sc"/>
        <s v="https://drive.google.com/open?id=1dqEEvZjc3-HSxArE3T0TahSmbzFRaNCO"/>
        <s v="https://drive.google.com/open?id=1jhGt5AJbIh85O8I8ZEwCevRuhHIW7OTn"/>
        <s v="https://drive.google.com/open?id=1AtdFUxvQGcpxux9oY3xjre0EM46ZYwP6"/>
        <s v="https://drive.google.com/open?id=1flSjScIzgvDaFlKnskktkX6PDBTM64ba"/>
        <s v="https://drive.google.com/open?id=1DFJ2tLTI8zvv-QezYhfLgJIS2cfSr31W"/>
        <s v="https://drive.google.com/open?id=1dcY99RelMhP2eWa3Jf1T312rUK7vh0MB"/>
        <s v="https://drive.google.com/open?id=1MESM3X45oeOJ8ON-UA997FTysLLn04U0"/>
        <s v="https://drive.google.com/open?id=1Cmoag0Y-Ur9VOTYlQzr9V3P5a1ekImiL"/>
        <s v="https://drive.google.com/open?id=14NhvgUC7T_EYqphxgH53YnNepvahw0dM"/>
        <s v="https://drive.google.com/open?id=1txRfOhGftkT_AXMR-91U9xX0Wt8ZCEMj"/>
        <s v="https://drive.google.com/open?id=1MTYlMs3GmipZosYx6GWFFVRMNXdwaHKD"/>
        <s v="https://drive.google.com/open?id=10gNEhy3sljVx5wn4uAZPNSpA3Xc3gKMK"/>
        <s v="https://drive.google.com/open?id=1Z_WY_TkUEhHCQl4lef3p5wJLsVF63j_M"/>
        <s v="https://drive.google.com/open?id=1qd2Nhy04_2h1g1VAZS_W8DigSUMvr7N_"/>
        <s v="https://drive.google.com/open?id=1KgYOaGUkbeDmFndABdxNOWxNgG8G6d7R"/>
        <s v="https://drive.google.com/open?id=1Hhde8xHloqtzLv-0W-MnEiggV4-hWMjJ"/>
        <s v="https://drive.google.com/open?id=1yvG_Il5zM68pDKIsKaf9WhClZfmBjXXZ"/>
        <s v="https://drive.google.com/open?id=1CR08cWZQYxeSHyboBYdjGODVnq-0dj9d"/>
        <s v="https://drive.google.com/open?id=1rm1syms9OyA3WVK-EXHBNC-vDBscdHTv"/>
        <s v="https://drive.google.com/open?id=1YyVmSCWJU51I9iPDVeU2hNXd6L1JftWA"/>
        <s v="https://drive.google.com/open?id=1lqcGEwOf2AaZzeWLkY0Laod0WtOKTWUL"/>
        <s v="https://drive.google.com/open?id=1ThX6NakAj4HUCQEoXloyZGIIDhEE53Y8"/>
        <s v="https://drive.google.com/open?id=1jRXVacmhTJmnk6sL25gyT7uKTQr5lFkn"/>
        <s v="https://drive.google.com/open?id=1y9dMzBbC6sB7xfOAkkcyZVClWC4LDWbB"/>
        <s v="https://drive.google.com/open?id=1J4IXSpSspFhvwCMcT1B2YKeDRCNw_CjD"/>
        <s v="https://drive.google.com/open?id=1kz7cz9A0deUYpdzZrgvkgiuiJpTtGYPl"/>
        <s v="https://drive.google.com/open?id=10xwDg880Mt-saIF-4KLuy3FwQQufIe4-"/>
        <s v="https://drive.google.com/open?id=1Xf6XYsFvmtF1sL4eJcyTEZvzX02dVNZx"/>
        <s v="https://drive.google.com/open?id=1CY0Jl9yD4nC4n32-8mIuoYLha5WMSqoy"/>
        <s v="https://drive.google.com/open?id=1k0bLrsGM0GVpueQWABF_2IcYqyZtKsu-"/>
        <s v="https://drive.google.com/open?id=1OaM2RA3xeQkSLU782CQoB8decsTxSM1h"/>
        <s v="https://drive.google.com/open?id=1sDI9ueIsEh2QAMQ69PqPdDonjx-G8J8Y"/>
        <s v="https://drive.google.com/open?id=1jPXDekAJ6q-1rnaMB8ekLjBh5nYE0rDI"/>
        <s v="https://drive.google.com/open?id=1cibqw3-Fk3cRFLQ0pkOaY1XFONl9NBee"/>
        <s v="https://drive.google.com/open?id=1H84hRhI_0_3A1WoenSqYHopUQJd_AJ2d"/>
        <s v="https://drive.google.com/open?id=1jbhJutbXC05FrQkkPWtNGMl7tdSBfXmc"/>
        <s v="https://drive.google.com/open?id=1ZSjhobe4hlbpeHooR6utIztV8us6CVqX"/>
        <s v="https://drive.google.com/open?id=1XRMYOjditJeIeyl0284_0yPMRJLJvYUG"/>
        <s v="https://drive.google.com/open?id=1fiuldyZTqKZ99vMstFip89Uu-kyJz2VS"/>
        <s v="https://drive.google.com/open?id=1p8NL12gvj_u9ruTtV4BjJut4_9s6szW-"/>
        <s v="https://drive.google.com/open?id=1b0fOhD5sG6x8weDWj2THFiYzcM6sdVdg"/>
        <s v="https://drive.google.com/open?id=1nykUK4p-aS9XjUF1uPZEa7A9nSpfF1AN"/>
        <s v="https://drive.google.com/open?id=1aOCE4P4XYX30LiAXE4GHzTu_tr5cKAVk"/>
        <s v="https://drive.google.com/open?id=12vrUxqce0xl675rNDf7hoWUeNXAVsMao"/>
        <s v="https://drive.google.com/open?id=1_rcQF5AvQnXc4hlUUmsOvkSlWZ8YkpVH"/>
        <s v="https://drive.google.com/open?id=1s7c3X3qxnKaF4q4ba3O_uvi5rah8fZO3"/>
        <s v="https://drive.google.com/open?id=1hX0fn0IoCFzmi9WGRYWyMouh94_kos_C"/>
        <s v="https://drive.google.com/open?id=1uMO7r6xbEpM71p-jC4QtfIwRxUwDnO2Y"/>
        <s v="https://drive.google.com/open?id=17v10QCZFMZY-TApGx5xQYvofa1MOdKCF"/>
        <s v="https://drive.google.com/open?id=1YyU2HxL4V0evhw0H1fvyqRG2QwrPIDau"/>
        <s v="https://drive.google.com/open?id=1IictuntbBLnEJd7JyymnbZkqcHWexgXI"/>
        <s v="https://drive.google.com/open?id=1vju1mTXzs1bTlDb55Qe75XKzif4wCWNx"/>
        <s v="https://drive.google.com/open?id=1Y3MeLUU6Re9CLPklOX1d2CItL0m9ZNNl"/>
        <s v="https://drive.google.com/open?id=1qKtxoRQuDPmAhgSBSXW0wbIdZcKE5bZN"/>
        <s v="https://drive.google.com/open?id=1DA8flefHZT_Hegtb-qLI-zS5GSA7n3a5"/>
        <s v="https://drive.google.com/open?id=1o6MKVFmvmPOwXwc2P0teuzdg1KR-cHaP"/>
        <s v="https://drive.google.com/open?id=1bTArrXPzgNMz4DrPs1pT6Dx9wpN08Thh"/>
        <s v="https://drive.google.com/open?id=1LT4OI8p8fXl15M_3CBy0Wu91KjJ_6sLj"/>
        <s v="https://drive.google.com/open?id=1aNfD68g5QwnDY0V7aDqPv_PQ7LRIicO-"/>
        <s v="https://drive.google.com/open?id=1_pELk2f_WIrq8qo0dGFnSw-02PvOrlng"/>
        <s v="https://drive.google.com/open?id=1yf7_uhy5YlvL_PBJ_DFwc2O2aFaEAszm"/>
        <s v="https://drive.google.com/open?id=1WTY6b8XTZcEsYU6CY3KRa_Bn1wFCr29x"/>
        <s v="https://drive.google.com/open?id=1xDCP4Idm-JdOBmwkw5Ud9Bew6d8snO1a"/>
        <s v="https://drive.google.com/open?id=10FHk7j3iTE7cpz_FL3hTKadlXkG31CLa"/>
        <s v="https://drive.google.com/open?id=1zFuZP2O6pHQxv1u2lTP75AWZK7zy5Uvc"/>
        <s v="https://drive.google.com/open?id=1vDnh2J1Io7RMBIOVnWbS93dFA1u-6YRC"/>
        <s v="https://drive.google.com/open?id=1bxC_fHi9drCz78bDjtTYw3g8c3XLUqRt"/>
        <s v="https://drive.google.com/open?id=11YKxTSeyxuC1_ulwhgu4n17Bf4SJXix5"/>
        <s v="https://drive.google.com/open?id=1GFuing3k5k5CzdDW3lHRw1dYdhAoX1Tr"/>
        <s v="https://drive.google.com/open?id=19jc7aoGpS_q3IYFuXf-U0EVdlIgHnpEG"/>
        <s v="https://drive.google.com/open?id=1nDOnwoGcpOddJmYhDQ08hstZgFLP-poD"/>
        <s v="https://drive.google.com/open?id=1VDcw452Si_C5stLOiaMkHd_uqzPCA8AT"/>
        <s v="https://drive.google.com/open?id=1HTJOaiUYi28TZiYyFSR8hwLzrIx5SYsq"/>
        <s v="https://drive.google.com/open?id=1lWw7kEUHID-ctw6VNqc4rcrFSKdPDqzN"/>
        <s v="https://drive.google.com/open?id=11hOp3PEsH4wt6DeLb0eprWJclFkdk97G"/>
        <s v="https://drive.google.com/open?id=1mk8bUE5oPhfoQhkzBmdZG8QDk3L0ia_x"/>
        <s v="https://drive.google.com/open?id=1EcGqp8pcbO_97mT74Dbfanouf7J942OF"/>
        <s v="https://drive.google.com/open?id=1iHv9OvWmtLF18D9vFJLY0UKiIYimNeRN"/>
        <s v="https://drive.google.com/open?id=1UjmU3xILJkZJZG_ia8qUsCOP6Aozuaxz"/>
        <s v="https://drive.google.com/open?id=15c8HLxliT01INi0W7RXT-6_MKLu61VgI"/>
        <s v="https://drive.google.com/open?id=1DePGBUtgxK86JAM9M7XwKgpCdx7jTrg2"/>
        <s v="https://drive.google.com/open?id=1XnJ9zQiTI9lLIe4rZAneYjAAB0bojO9W"/>
        <s v="https://drive.google.com/open?id=1Wck4MlP7nINUSLKN93TVQshS2TvEtqIn"/>
        <s v="https://drive.google.com/open?id=1RZjZVXuCaAGvuBwkL6loA_WV717SbUK7"/>
        <s v="https://drive.google.com/open?id=10kRvm8_8g5vJlHHO5roGKSwohR6PoceG"/>
        <s v="https://drive.google.com/open?id=1yaE08E6nMaL4qIUeEN3G3AOlUESmkkDt"/>
        <s v="https://drive.google.com/open?id=1Hp_3rrHH-M-drKeJIXfseKMF7gLXRnKM"/>
        <s v="https://drive.google.com/open?id=1KMTPFF_961oYdPFcjOynWSzI8_ZAWhEn"/>
        <s v="https://drive.google.com/open?id=1CUyhDOC7bpCTtXTdWpkpB7ctMS3RBuOX"/>
        <s v="https://drive.google.com/open?id=1WiF1G9rRcSIX5cj0HZitvhtDpYoxAUIo"/>
        <s v="https://drive.google.com/open?id=18YGtDLopn69FMt7j45dG4hjvUFc2Lfsc"/>
        <s v="https://drive.google.com/open?id=1-DSenWUBBNOePErhk3iRkhv4mVIagVz5"/>
        <s v="https://drive.google.com/open?id=1kCDDI7M92M0aGNb7y_FDToUNYnJAsLDJ"/>
        <s v="https://drive.google.com/open?id=1_fzSzvYpG6590Pyt5_nP4T6KOkSoaYgF"/>
        <s v="https://drive.google.com/open?id=15Ym6WhmBmZXBzEecSl5LNwuSJwD8mCYa"/>
        <s v="https://drive.google.com/open?id=16-p6i_FKzbJLH3pi-sV_RJfG8vbQp466"/>
        <s v="https://drive.google.com/open?id=1_yrbjzUyYaddazZBWWFzChKSRehLaJ1o"/>
        <s v="https://drive.google.com/open?id=1mfoeNnVuPhb8PU-yx7U7wkqE26R4bl4-"/>
        <s v="https://drive.google.com/open?id=17SIi5Jp5UzgzD4hYTb8y7lAa6YrE5RKb"/>
        <s v="https://drive.google.com/open?id=1jc4qnTAqf2ZTNWILsFU1_upmRn_Vu7PX"/>
        <s v="https://drive.google.com/open?id=107OQKQAF3YvdNnZo8TC0PIQRkd0DzADB"/>
        <s v="https://drive.google.com/open?id=1og0HVyBGTt_S7mLDo3F6-0pAvAYNEk6y"/>
        <s v="https://drive.google.com/open?id=1YpALjZyFjOdBJlugOFJAxuvym0-bFSwZ"/>
        <s v="https://drive.google.com/open?id=1NNYsp6vsEz_ns3RWuepMgJAM5SxTqe3n"/>
        <s v="https://drive.google.com/open?id=1jq8IR0GdMS5p3Oz0GvqFz-qHuK3npzQh"/>
        <s v="https://drive.google.com/open?id=1dMCY00A7Eg5Pjjnwtkvs_jEkQaRbFJTz"/>
        <s v="https://drive.google.com/open?id=1t9hiYgacze6tqxT84xZ73Y1ErV4h0UVx"/>
        <s v="https://drive.google.com/open?id=1zhMRbWkFdv8dQMMI5gKUpDUMwJgoSsdn"/>
        <s v="https://drive.google.com/open?id=1y5CnsVsVtIqgH7VrHz9qaVwdpkGtTyYD"/>
        <s v="https://drive.google.com/open?id=1QCOfojMpYmvetN8PJGsqCeSl2uaQ_Kxb"/>
        <s v="https://drive.google.com/open?id=1VgdpTEsTaZU4F16H8tVN3vesDVg6OGeU"/>
        <s v="https://drive.google.com/open?id=1UCP9V0ayTjOQHIMhauCq5CopFJymeumB"/>
        <s v="https://drive.google.com/open?id=13L4IlTGczJ9PWyPtImfwMmPec_NvljLX"/>
        <s v="https://drive.google.com/open?id=1K3flKQHmEjb194KuewNj87K_UBV03FK1"/>
        <s v="https://drive.google.com/open?id=1W2jcqiEertDsxAUYvwITJFOKciFIpvsE"/>
        <s v="https://drive.google.com/open?id=1lxJBauuyLRpeq5EgBzTigXxwsfytkrAg"/>
        <s v="https://drive.google.com/open?id=1p4YUDifRngxYzrxEyVs9FQVVE64OqGp9"/>
        <s v="https://drive.google.com/open?id=10UDYOZ_6gzrf3M2gENPbFmSl6ToxYK-A"/>
        <s v="https://drive.google.com/open?id=1dEGkVSwBkZcU77noaaRj_SY79IRQA7rZ"/>
        <s v="https://drive.google.com/open?id=195jZIbrK1QwMfiScpfGS509nA3oC_nB5"/>
        <s v="https://drive.google.com/open?id=1eYptKW9CrmqQm21Yau8_oBM52l2c3R8T"/>
        <s v="https://drive.google.com/open?id=1zNr5T0gYK3-mWzb5Adt3Wl1CUGSPLMrB"/>
        <s v="https://drive.google.com/open?id=1UFXklMgUEclGvDUMPgAryY9SwYZXp2wO"/>
        <s v="https://drive.google.com/open?id=1l7KCAtEaVg2I0knAn3kidWgGVdvesJH2"/>
        <s v="https://drive.google.com/open?id=1-DHUHwl38mLEe2BYqS_LfpwGsbp5lJNU"/>
        <s v="https://drive.google.com/open?id=1a1SU9aSENt1qLM_5u3o-Dy_y1i4QRlMf"/>
        <s v="https://drive.google.com/open?id=1Eh2ZTi1V9ZRBQlhtGyRp4TTGTYy8KiOB"/>
        <s v="https://drive.google.com/open?id=1dHet1PN0sXbxHCSR6PABpn3_GEHRR8CO"/>
        <s v="https://drive.google.com/open?id=1wJGKUsLqhYvzUA6w9WxTr4jPJ48m33dL"/>
        <s v="https://drive.google.com/open?id=1m2YN2lH8M6B1s576tw4q7exKt1BMWcuN"/>
        <s v="https://drive.google.com/open?id=1gxWjSLiBKVOpShl5ktzIYjUWKXIfLKqa"/>
        <s v="https://drive.google.com/open?id=1iWCcJZ-fHczgqA06XqCchSurTf7MI9PU"/>
        <s v="https://drive.google.com/open?id=1dZUJZLCE0UFphrLv2xrWWO9SOnDFfZgR"/>
        <s v="https://drive.google.com/open?id=1O8Y7Ap1Hvc2qNCF9njC_X9490e4LfcDb"/>
        <s v="https://drive.google.com/open?id=1XXFHyehihg-iITe0ErFdPoh_bDr73PYe"/>
        <s v="https://drive.google.com/open?id=1vqtrOODbLS22dD-VbvbnPgDQEQB4wM_E"/>
        <s v="https://drive.google.com/open?id=12gPoUbc17mtEZysycN-9pI9_6tqUBfM7"/>
        <s v="https://drive.google.com/open?id=1CC8pFP8d7TMOYS_oOLvnlsPthaGXuDw8"/>
        <s v="https://drive.google.com/open?id=1EUSJccgm7tW9sp4YVVGUKOpoBBUvh-Vo"/>
        <s v="https://drive.google.com/open?id=1u5neasVtU3uhGZw-0zZTlM2yGNkesYfg"/>
        <s v="https://drive.google.com/open?id=1fTvxRnm1SyQyvWRFXU9ddipA4czUUJQx"/>
        <s v="https://drive.google.com/open?id=1XGA6qYgnM9e0DYfwvMLbkbZGjpOKnvWL"/>
        <s v="https://drive.google.com/open?id=1WzeTQ9Y30UxC2RrTtRX01wPYZ2S0zQch"/>
        <s v="https://drive.google.com/open?id=1pgM2h7OFs3P6h1aX7rjkyd6oXI7JwGUA"/>
        <s v="https://drive.google.com/open?id=1zJxMvEZsbkKTkpMfroUm0Xx2krh7fa8d"/>
        <s v="https://drive.google.com/open?id=163wpKzkwKIxrA7qyPKpl2602I6rBBamf"/>
        <s v="https://drive.google.com/open?id=1B5IM5RZEP6Dp3BMi4qnPib2K1Ybk6gZP"/>
        <s v="https://drive.google.com/open?id=1OwyFVgwAsxZgN45F1f-aT-DD15W1FGqQ"/>
        <s v="https://drive.google.com/open?id=161yoc0FyT72YteGRNlo7wQrpg4q7Iv8K"/>
        <s v="https://drive.google.com/open?id=13-Qhd1orcs5I-uel2Cp1xLbE4RDi3r_q"/>
        <s v="https://drive.google.com/open?id=1wSDKMoJM_boY2_LaakBk-SD0dr0BCP79"/>
        <s v="https://drive.google.com/open?id=1hhCsmHaTkPODIS_m9_LWYldnrb_NSgA8"/>
        <s v="https://drive.google.com/open?id=1235w2uLdrNrKHc_7uRsCNg4lQJo0pobe"/>
        <s v="https://drive.google.com/open?id=12HWn2K-EcXVPngRqSP2hPFXAj1bdcSDL"/>
        <s v="https://drive.google.com/open?id=1wBlhzsAZrc_ojGsBZ88mBJQM13QbHu1o"/>
        <s v="https://drive.google.com/open?id=1tXEnoa8xL7YFcImN5obWPQm2CVyWU6NW"/>
        <s v="https://drive.google.com/open?id=1L9lIzfv9CYTcYUaYQml7_SUvbUNyGgWP"/>
        <s v="https://drive.google.com/open?id=1hyxv6gS4OtgMCMokwVMgo5EYUTWVspxK"/>
        <s v="https://drive.google.com/open?id=1CVmglxUFVm3J5nQTjjuMYubE0y1b26le"/>
        <s v="https://drive.google.com/open?id=1otstqmBjZnGHu_W3CSxtI8eZgxU-ZE5g"/>
        <s v="https://drive.google.com/open?id=1Oe9egytpt2_KMG-ZU3GOaeoZTafBNQ2I"/>
        <s v="https://drive.google.com/open?id=1a4nqstYDWENsfhSuXFIJDFG01BXnOU6Z"/>
        <s v="https://drive.google.com/open?id=19rHnz1yHkTXhmCkQVFAiHe-Y0qrDDrJX"/>
        <s v="https://drive.google.com/open?id=1kjQgKHpecAb-9Mkq_AGllfsqk18zBkiK"/>
        <s v="https://drive.google.com/open?id=19UBoYYzlZvX72aplUM8vFRRVgFbzB_yn"/>
        <s v="https://drive.google.com/open?id=1bYnPhfUz9HqaRaHKku6JM4hlt8-RnS18"/>
        <s v="https://drive.google.com/open?id=1NYc7GfBgtfAp8Kg-u2GtEWLygmDW-sNk"/>
        <s v="https://drive.google.com/open?id=1ZRtEiDtRt_nYCUCuX7PiXwgHOOjheRqF"/>
        <s v="https://drive.google.com/open?id=1jqTayAKDGpZL1UuPaB_4yFAONJmcFKbY"/>
        <s v="https://drive.google.com/open?id=16-blfD27WfInf_A6VAKGPjZ7F4SmoFNH"/>
        <s v="https://drive.google.com/open?id=1pIJsVYSThJqGhzI3re6RsYLR0_mCGUOX"/>
        <s v="https://drive.google.com/open?id=1QIooWiaHEmRh-iZvwPw_vsFATlpbkYpS"/>
        <s v="https://drive.google.com/open?id=1GJtIWMR2NcQyUI-xF6bpO5VPAqc02R-b"/>
        <s v="https://drive.google.com/open?id=1pgcRAEswCh7J3SNgNyaNJuxij8_J_YpB"/>
        <s v="https://drive.google.com/open?id=10WXo9k-i7ZHVvLbdvrJqSGv46S6GKB-5"/>
        <s v="https://drive.google.com/open?id=1svrxWpVo3EeBMu50fsB3rnRzuEFDHgTa"/>
        <s v="https://drive.google.com/open?id=1Tk-IsFhmtfygQkQ16ZCUKSs0CV2tFI2p"/>
        <m/>
        <s v="https://drive.google.com/open?id=1izrXTIAI915G0DjW0qTJxquEJA4vi8gb"/>
        <s v="https://drive.google.com/open?id=1lUSP8LQm6kOtGKOerpb6_QmBB1u44ClB"/>
        <s v="https://drive.google.com/open?id=1gKVg4a5XPT3x-hnePd3tQN9cbJvCZH87"/>
        <s v="https://drive.google.com/open?id=1keSdM9c66izyDNszgJ-kWyPqe4inoxYq"/>
        <s v="https://drive.google.com/open?id=1RjYO5IQjjw4Stu_zJ0l9jCs77EOsmeQL"/>
        <s v="https://drive.google.com/open?id=1lwFiQ4XOT8w6tUy24lGMS5u-utAX2hay"/>
        <s v="https://drive.google.com/open?id=1UWUxbWoCy1eUPtjUNNZoZkvqUw15PlyV"/>
        <s v="https://drive.google.com/open?id=12AWkoUAlYKvTcHV9J6NgYVZWrVY6dI18"/>
        <s v="https://drive.google.com/open?id=1c4gm9wiKFgPWsQ9J9Lj27LJde0NgBo3b"/>
        <s v="https://drive.google.com/open?id=1RH_7Ep5Na4v2kK9fRPIzwPpnmpmSYj3w"/>
        <s v="https://drive.google.com/open?id=1jccXHPBLifzRKusFx-Qst6KxI1_gKryI"/>
        <s v="https://drive.google.com/open?id=13Fnitj3Iqk5aGUKn8nH4IuEIUmNaycFO"/>
        <s v="https://drive.google.com/open?id=1vlkZNDYF5ua9grpSHHwZA7Pig9MlHHHe"/>
        <s v="https://drive.google.com/open?id=1hEKBqD9G0AxnkbjOIMz5AWyZwNdtJD2A"/>
        <s v="https://drive.google.com/open?id=1hxjiffuH_B-JxCEheIrsg2vcBk71jVL8"/>
        <s v="https://drive.google.com/open?id=1HWSlgimYeRQMs-JyPPEH6uS4COpQVc1G"/>
        <s v="https://drive.google.com/open?id=1Gof-RS1JdauWBDGTjVaRAlohVS-tv_87"/>
        <s v="https://drive.google.com/open?id=1S0BuPN7vJjdLcanamHPRUSxvBFrR2f6s"/>
        <s v="https://drive.google.com/open?id=1GfNI7k2t_zSBdjS4p1aTorxZZRNDW7KT"/>
        <s v="https://drive.google.com/open?id=1cTAhW9LZzU2D278ZXavvjaF6sIXXP_NM"/>
        <s v="https://drive.google.com/open?id=1Iu_FwfI5G5bzgcemsNDyrygIQ3RdsMci"/>
        <s v="https://drive.google.com/open?id=1s-YBE4ruLLEHTlRhKnmtpVpG-iLskOGj"/>
        <s v="https://drive.google.com/open?id=1lfo54YtRZtHhpGCGTnJMhgrdLpgtUqRl"/>
        <s v="https://drive.google.com/open?id=1mVHjoXrExzBMhxV3n2-OFutxv-0AD7-0"/>
        <s v="https://drive.google.com/open?id=107mDkQPM7vfg9VbGDrwHHSaoaT6HyneL"/>
        <s v="https://drive.google.com/open?id=1qyK936bcO6hYNhKlXFgsa1PZHckbePjN"/>
        <s v="https://drive.google.com/open?id=1DEtOO7rvjdfSUkRMfBz-GPIqtoSkn_EN"/>
        <s v="https://drive.google.com/open?id=1mfdlDEnXCM01KkVtkM7TrGI7eQoNgD5G"/>
        <s v="https://drive.google.com/open?id=1clmA5RTGmZwAXzlOf1lHY9vecjyvhqDi"/>
        <s v="https://drive.google.com/open?id=1u8qv4_YElhjKDQlKu6tMgxWqagmrVVWJ"/>
        <s v="https://drive.google.com/open?id=1uAtx60CbBbFsh3uWpkfCFo-WohakX7Jc"/>
        <s v="https://drive.google.com/open?id=1Xmzybz4firjvQE5QuS3hFz0bLcJdXcwd"/>
        <s v="https://drive.google.com/open?id=1qdq200YQFunKGwmcbKq7w12-8rwUzpBw"/>
        <s v="https://drive.google.com/open?id=1KgJlPWz6u61jgaGtU_tO38veYjK2Ip_j"/>
        <s v="https://drive.google.com/open?id=1NFjcn4BTy89ch0oNDjzQFYQpAUGi5U0h"/>
        <s v="https://drive.google.com/open?id=1PL1xZWrAPO_jM4OZf_hxMF6R83dBbnqo"/>
        <s v="https://drive.google.com/open?id=16XYnuce_Lhxlvw8qh5bDD5VYp1RpqXE3"/>
        <s v="https://drive.google.com/open?id=1wjv6r_bKjwT_hMvGPM4B5KnioxrvQ1qw"/>
        <s v="https://drive.google.com/open?id=1Ook2ja2dWudFMGMprxEJL7mBe_uxbJ5K"/>
        <s v="https://drive.google.com/open?id=1t5yS6ShG7RzxPMCzlPJ-Dl5cpmcXOIcE"/>
        <s v="https://drive.google.com/open?id=1VvgxBv7e6mhn5im49UX4iz-VWgFsEUnp"/>
        <s v="https://drive.google.com/open?id=1rncIrFI_FCL0o0wGoiS3ubMPxJTgCKBR"/>
        <s v="https://drive.google.com/open?id=1KsFBgwYvpkZK1UYwWFPsdemxqs7hvXp-"/>
        <s v="https://drive.google.com/open?id=1Mj-5w-z4i77CcvT9Lc5O6gkniVhk8XLF"/>
        <s v="https://drive.google.com/open?id=19DnwMUSEraGmhJOCWmebvDnKw9ZPnc4G"/>
        <s v="https://drive.google.com/open?id=19hRDWlMk8TuGYdyg2nCX1iiA707ZXSKd"/>
        <s v="https://drive.google.com/open?id=1nbWmf74E8l5GliFO1pYxaI7UotSamfk8"/>
        <s v="https://drive.google.com/open?id=1K6oCPgLNnhOTLdNlwNJrJGJXsC3jsY63"/>
        <s v="https://drive.google.com/open?id=1AXJbIjcJFmT1Dm0Pm3mtUYiQN7UE2oTI"/>
        <s v="https://drive.google.com/open?id=135DiGjMX28m9QJfUXQNNWTpd-dqMxbm1"/>
        <s v="https://drive.google.com/open?id=1vWIWC1PMRKy8D53m0NoFGgsbvx81lmYe"/>
        <s v="https://drive.google.com/open?id=1KZsjnDQRNlmZzhYHDtYZkDsNp_WPBb4z"/>
        <s v="https://drive.google.com/open?id=1i_VzxDt56fPQb7_w8z2Gptxm2JZhjWG7"/>
        <s v="https://drive.google.com/open?id=1eMZufyrp3gfKgGLXu1qTwze50OJythS6"/>
        <s v="https://drive.google.com/open?id=16k5r0oQo5GcuLH-YEfM1_7qMtZEAqJMu"/>
        <s v="https://drive.google.com/open?id=10IgZX1kL49sI5k9pg7yDwWXwDigX9wZB"/>
        <s v="https://drive.google.com/open?id=1CqJpIO6N7mHF02YxMFyqIdLvgBjV3Okm"/>
        <s v="https://drive.google.com/open?id=1FEaOXWFxlEg6vIE3W2gIdJ0rVxN7qBT3"/>
        <s v="https://drive.google.com/open?id=1TQcLxh4cK42Ey_OHqyVALWJJS9XHUIrc"/>
        <s v="https://drive.google.com/open?id=18Qf1b5hR7F69mxuz3d_Xgd537t0a7D2a"/>
        <s v="https://drive.google.com/open?id=1aKjzLPFyRi4LTKWXgQ2zum0ej8hbAl-C"/>
        <s v="https://drive.google.com/open?id=1Jd0YP0D0XRo6fiJZwZggUyGXTOhh3cTZ"/>
        <s v="https://drive.google.com/open?id=1oflzJ0KaF6s-oMRjNqA80-p-tnhceL3w"/>
        <s v="https://drive.google.com/open?id=12xOS-DrSJ27p570L2XsEeeFhjeMZadY_"/>
        <s v="https://drive.google.com/open?id=1FoGt7_8yiGHL782jQf5o4TC5nHZcwVdL"/>
        <s v="https://drive.google.com/open?id=1BuXEmN447ijxXbgMl5EYBRhR1ziS1UZn"/>
        <s v="https://drive.google.com/open?id=1l_StfexZmXgUt5g1Pj7TlICT79Zz-6tQ"/>
        <s v="https://drive.google.com/open?id=1JZylQUzZoavXgqrz_2EYXRqO59L3znhq"/>
        <s v="https://drive.google.com/open?id=1LQoGgAqPMGISjzC3tDOYUftJt0dnSYDK"/>
        <s v="https://drive.google.com/open?id=1oyEShjFVGSLv6g2kJXOT-s9ibLXAC_Ri"/>
        <s v="https://drive.google.com/open?id=1es9fj-5uSiHU-zt_VeDQbJQKf38sGqHV"/>
        <s v="https://drive.google.com/open?id=1wh0GWV7-jT0hZlC1jQHe7MpN2FUoYnYY"/>
        <s v="https://drive.google.com/open?id=1qldvN1xEFAzfMmri1qqQH2EeHoEgBbkk"/>
        <s v="Upload Foto Kepulangan dengan Time Stamp (untuk Bukti Kepulangan)"/>
        <s v="https://drive.google.com/open?id=1d6-B-E9J0gX_4S5aKXSfyt9Wo1iPv_I9"/>
        <s v="https://drive.google.com/open?id=1KYCYjs9raBFhFi5MYJdOjEeborPg04f8"/>
        <s v="https://drive.google.com/open?id=15VEFiXchewIvCDCmkfAjq1DdkdZhfUU3"/>
        <s v="https://drive.google.com/open?id=1gjS8pZYc6-gNFQSk-GByhtMt0cr6d023"/>
      </sharedItems>
    </cacheField>
    <cacheField name="Jumlah aktivasi Gemini dari orang yang diedukasi">
      <sharedItems containsBlank="1" containsMixedTypes="1" containsNumber="1">
        <n v="1.0"/>
        <n v="3.0"/>
        <n v="0.0"/>
        <n v="5.0"/>
        <n v="13.0"/>
        <n v="8.0"/>
        <s v="* 2"/>
        <s v="*0"/>
        <n v="4.0"/>
        <n v="2.0"/>
        <n v="7.0"/>
        <n v="14.0"/>
        <n v="20.0"/>
        <n v="6.0"/>
        <n v="9.0"/>
        <n v="15.0"/>
        <n v="10.0"/>
        <n v="16.0"/>
        <m/>
        <n v="17.0"/>
        <n v="18.0"/>
        <n v="12.0"/>
        <n v="11.0"/>
        <n v="21.0"/>
        <n v="27.0"/>
        <n v="30.0"/>
        <n v="19.0"/>
        <s v="8 ( 085800112935,085722122183,0856433161466,089512852986,089684148223,085729172026,0895339350705,08952713817"/>
        <s v="8 (085738321887,085738321902,08157695599,089671399030,0895422861171,085719218340,085788896437,089530933111"/>
        <s v="5 (089695017040,085876274120,08987434843,085867929746,0895808743456"/>
        <s v="Jumlah aktivasi Gemini dari orang yang diedukasi"/>
        <n v="10.6727272727273"/>
        <n v="11.8"/>
        <n v="12.9272727272728"/>
        <n v="14.0545454545455"/>
        <n v="15.1818181818182"/>
        <n v="16.3090909090909"/>
        <n v="17.4363636363637"/>
        <n v="18.5636363636364"/>
        <n v="19.6909090909091"/>
        <n v="20.8181818181819"/>
        <n v="21.9454545454546"/>
        <s v="* 3"/>
        <s v="*1"/>
      </sharedItems>
    </cacheField>
    <cacheField name="hari &amp; tanggal2" numFmtId="0">
      <sharedItems containsString="0" containsBlank="1">
        <m/>
      </sharedItems>
    </cacheField>
    <cacheField name="Brand" numFmtId="0">
      <sharedItems containsString="0" containsBlank="1">
        <m/>
      </sharedItems>
    </cacheField>
    <cacheField name="Column 1" numFmtId="0">
      <sharedItems containsBlank="1">
        <m/>
        <s v="  "/>
      </sharedItems>
    </cacheField>
    <cacheField name="Column 20" numFmtId="0">
      <sharedItems containsString="0" containsBlank="1">
        <m/>
      </sharedItems>
    </cacheField>
    <cacheField name=" " numFmtId="0">
      <sharedItems containsBlank="1">
        <m/>
        <s v=" "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54" sheet="Form Response 2 Copy"/>
  </cacheSource>
  <cacheFields>
    <cacheField name="Timestamp" numFmtId="164">
      <sharedItems containsSemiMixedTypes="0" containsDate="1" containsString="0">
        <d v="2026-07-01T17:59:41Z"/>
        <d v="2026-07-01T19:04:06Z"/>
        <d v="2026-07-01T19:48:18Z"/>
        <d v="2026-07-01T20:06:16Z"/>
        <d v="2026-07-01T20:12:42Z"/>
        <d v="2026-07-01T20:46:33Z"/>
        <d v="2026-07-01T20:49:55Z"/>
        <d v="2026-07-01T20:57:56Z"/>
        <d v="2026-07-01T21:13:30Z"/>
        <d v="2026-07-01T21:15:34Z"/>
        <d v="2026-07-01T21:26:46Z"/>
        <d v="2026-07-01T21:38:44Z"/>
        <d v="2026-07-01T22:01:22Z"/>
        <d v="2026-07-01T22:09:40Z"/>
        <d v="2026-07-01T22:59:38Z"/>
        <d v="2026-07-02T00:40:59Z"/>
        <d v="2026-07-02T09:26:07Z"/>
        <d v="2026-07-02T17:38:36Z"/>
        <d v="2026-07-02T17:42:57Z"/>
        <d v="2026-07-02T17:57:10Z"/>
        <d v="2026-07-02T18:02:42Z"/>
        <d v="2026-07-02T18:17:52Z"/>
        <d v="2026-07-02T18:23:49Z"/>
        <d v="2026-07-02T18:28:35Z"/>
        <d v="2026-07-02T19:11:24Z"/>
        <d v="2026-07-02T19:15:42Z"/>
        <d v="2026-07-02T20:09:24Z"/>
        <d v="2026-07-02T20:18:11Z"/>
        <d v="2026-07-02T20:39:19Z"/>
        <d v="2026-07-02T21:36:47Z"/>
        <d v="2026-07-02T21:41:46Z"/>
        <d v="2026-07-02T22:44:08Z"/>
        <d v="2026-07-02T22:54:07Z"/>
        <d v="2026-07-03T00:24:38Z"/>
        <d v="2026-07-03T02:18:29Z"/>
        <d v="2026-07-03T06:41:57Z"/>
        <d v="2026-07-03T17:53:30Z"/>
        <d v="2026-07-03T18:34:24Z"/>
        <d v="2026-07-03T19:16:59Z"/>
        <d v="2026-07-03T19:32:07Z"/>
        <d v="2026-07-03T19:33:22Z"/>
        <d v="2026-07-03T20:59:31Z"/>
        <d v="2026-07-03T21:23:55Z"/>
        <d v="2026-07-03T21:43:11Z"/>
        <d v="2026-07-03T22:22:46Z"/>
        <d v="2026-07-03T22:45:08Z"/>
        <d v="2026-07-03T22:51:31Z"/>
        <d v="2026-07-03T22:54:52Z"/>
        <d v="2026-07-03T23:16:55Z"/>
        <d v="2026-07-03T23:47:30Z"/>
        <d v="2026-07-03T23:59:14Z"/>
        <d v="2026-07-04T06:28:58Z"/>
        <d v="2026-07-04T17:31:25Z"/>
      </sharedItems>
    </cacheField>
    <cacheField name="Hari &amp; Tanggal" numFmtId="14">
      <sharedItems containsSemiMixedTypes="0" containsDate="1" containsString="0">
        <d v="2026-07-01T00:00:00Z"/>
        <d v="2026-07-30T00:00:00Z"/>
        <d v="2026-07-02T00:00:00Z"/>
        <d v="2026-07-03T00:00:00Z"/>
      </sharedItems>
    </cacheField>
    <cacheField name="Region" numFmtId="0">
      <sharedItems>
        <s v="Central Java (Jateng)"/>
      </sharedItems>
    </cacheField>
    <cacheField name="Area Penempatan" numFmtId="0">
      <sharedItems>
        <s v="Yogyakarta"/>
        <s v="Sleman"/>
        <s v="Semarang"/>
        <s v="Solo"/>
      </sharedItems>
    </cacheField>
    <cacheField name="Nama Promotor" numFmtId="0">
      <sharedItems>
        <s v="Rebeka tiara busono"/>
        <s v="Erlis Krisnawati"/>
        <s v="Dina Anita Veronica"/>
        <s v="Via"/>
        <s v="Ika adhelia"/>
        <s v="Nia febriyanti"/>
        <s v="Ika"/>
        <s v="Zazha Adelia Soetikno"/>
        <s v="M Mikail Azka (Kaka)"/>
        <s v="Nurul Hidayah "/>
        <s v="Eva diana"/>
        <s v="Neha naura herwin"/>
        <s v="Sugiyanti "/>
        <s v="NOOR ROOFI JUNMANTINI "/>
        <s v="Natalia Rizki Aria Wijaya "/>
        <s v="Retha"/>
        <s v="Eka"/>
        <s v="Vian Erviana Reilyani"/>
        <s v="Septy maulida ( sely )"/>
        <s v="Bagus Nurul Khamid"/>
        <s v="Devi kumala novianti"/>
        <s v="NOOR ROOFI JUNMANTINI"/>
        <s v="Zumalia Suci Retnowati "/>
        <s v="SYAHRUL HADI MAULANA"/>
      </sharedItems>
    </cacheField>
    <cacheField name="Nama Outlet" numFmtId="0">
      <sharedItems>
        <s v="Kampus uin kalijaga yogyakarta"/>
        <s v="Gowes Cell"/>
        <s v="UMY"/>
        <s v="Mobile"/>
        <s v="ska cell"/>
        <s v="SPY cell "/>
        <s v="Putra mandiri cell"/>
        <s v="Amos Cell"/>
        <s v="Graha Komunika "/>
        <s v="Mox cell"/>
        <s v="Nafiri pom"/>
        <s v="Kampus ISI "/>
        <s v="Hibizz"/>
        <s v="AGUDIA Cell"/>
        <s v="-"/>
        <s v="Jogja card"/>
        <s v="Semarang"/>
        <s v="Semarang selatan"/>
        <s v="Blitz sekitar Kampus Udinus"/>
        <s v="Kimo cell"/>
        <s v="GANTENG GANTENG SELULER"/>
        <s v="Kampus UAD "/>
        <s v="Areauin"/>
        <s v="Susan cell"/>
        <s v="Event Seminar AI kampus Universitas Dian Nuswantoro (UDINUS)"/>
        <s v="Area semarang selatan"/>
        <s v="Aristo"/>
        <s v="Kampus ISI dan sekitarnya "/>
        <s v="Kampus PGRI"/>
      </sharedItems>
    </cacheField>
    <cacheField name="Upload Foto Kehadiran dengan Time Stamp (untuk Bukti Kehadiran)" numFmtId="0">
      <sharedItems>
        <s v="https://drive.google.com/open?id=1qrUB4FZV--RaWqHMdvQIbfObLVSYEf5w"/>
        <s v="https://drive.google.com/open?id=1Lz0ZEajq5LPWE7tMfeJzCBk7xs9kkW03"/>
        <s v="https://drive.google.com/open?id=1W-ejAyWKgUzZAZ-VMskbWyCUFJsFOQTr"/>
        <s v="https://drive.google.com/open?id=1HYU4jKq6GZgLG650gvFxpqoPHkmas3Jg"/>
        <s v="https://drive.google.com/open?id=1eKJuZoCCUGWZhR3XeZ3_Zz6irSQHPgBe"/>
        <s v="https://drive.google.com/open?id=10ilJCoPwnOkzi5I3oYzh32-1AgKNpuzc"/>
        <s v="https://drive.google.com/open?id=1tuvzV-7rglTeUEvf5-J1OjiRRC22Ze4q"/>
        <s v="https://drive.google.com/open?id=1yejxZXMvR-ctHsmynQMAKF1tQOjDiz0I"/>
        <s v="https://drive.google.com/open?id=19McwleiiPtHKEmF_u1Rp-sCdskRiS_Tt"/>
        <s v="https://drive.google.com/open?id=18r37CPr2Yel_3I9CpNslZbuka2EAIllz"/>
        <s v="https://drive.google.com/open?id=1lpIEL5KQJn-6cSgO-c_R5b2BkU1aWyfF"/>
        <s v="https://drive.google.com/open?id=1TdauXtm0wwPzqLnWA_So2NbsnwgCW33J"/>
        <s v="https://drive.google.com/open?id=1uQ32IWfpYeJGQNgTnboQ_YzIcrDI_hNn"/>
        <s v="https://drive.google.com/open?id=1uY6Iu7Q6x8SQG_rxrlVca6Bzcu2c4t8Y"/>
        <s v="https://drive.google.com/open?id=1Sa6YoJAMDIrjKLUMptEHCb6MWb5LKASo"/>
        <s v="https://drive.google.com/open?id=1IQnuiClbUTa80PEZMyhTxMhsyftfN1tb"/>
        <s v="https://drive.google.com/open?id=1NHwLXN7GbMNrUJJVy9-91HXCXJ1pbbpz"/>
        <s v="https://drive.google.com/open?id=1Y_uMm0MS8HCGEVpB2QlYrq_Ce7IaYHev"/>
        <s v="https://drive.google.com/open?id=1fnoQHYpiTfsNrqlADadHNbc2-_TRQLHB"/>
        <s v="https://drive.google.com/open?id=11us9PlL_kyq6jhs-yekhOc4yAcSzM_8G"/>
        <s v="https://drive.google.com/open?id=1ptFOwcEdsuaE1u-5NPTnrCs41k4xrhBB"/>
        <s v="https://drive.google.com/open?id=1ufday6VpH6jJ70WIqK5up39BEXtzv0N8"/>
        <s v="https://drive.google.com/open?id=1mdPvcZoIrI7Xz0tz0P7onibFk5Fn47k-"/>
        <s v="https://drive.google.com/open?id=11R4PNwv-irrEsEPYAqs5Eq34R6xv3IhM"/>
        <s v="https://drive.google.com/open?id=1cD9zV9wqFDWPEaqwd2kmo9XjKu4uEQ88"/>
        <s v="https://drive.google.com/open?id=11mT6gyVOwqNo3Lri4RHfSfbtX0kl7mVh"/>
        <s v="https://drive.google.com/open?id=1B4DHKbPJE9C6tW9pIJsixQ0zWuXFhses"/>
        <s v="https://drive.google.com/open?id=1PBLYzyfsjWgaMO1J7ABKFPQiMLPm8Sc0"/>
        <s v="https://drive.google.com/open?id=1afrXp1GplTLUzM4xXT75WiJuoN-ngnkL"/>
        <s v="https://drive.google.com/open?id=1fgFmJE2sMVpYA71STro-ZxbXEuvTs3_P"/>
        <s v="https://drive.google.com/open?id=181wRUIvW4Ow5mbKqI7RNd4B7VmiUsTQq"/>
        <s v="https://drive.google.com/open?id=1_LPPctpW-kmi1Uf7stRiImC-Fu4HQJEI"/>
        <s v="https://drive.google.com/open?id=1JtslwcqIab8WBg3fSu0RqopGxwow6tjd"/>
        <s v="https://drive.google.com/open?id=1_g1kmed52bzszacDhMDqYYJ7Vvw-jwDk"/>
        <s v="https://drive.google.com/open?id=1T-mJOUCktA_9FQAeN5OpDBxz7oFpgqUo"/>
        <s v="https://drive.google.com/open?id=1GLZdwP8A8fBEpN0cRb1L6mZUQDaPGujT"/>
        <s v="https://drive.google.com/open?id=1pchqg5SO-yYVRW2LexxMVphGc-GGpg-3"/>
        <s v="https://drive.google.com/open?id=11P0ouXCmoOYpOI7JkLsEuBd_CDoFf1LP"/>
        <s v="https://drive.google.com/open?id=1vXrN7w5kyx8jf8_2Lgvf25uZJcIhoY1S"/>
        <s v="https://drive.google.com/open?id=1YhXDxouA4Zz0EqEU_4z97bkjg7FiqV5w"/>
        <s v="https://drive.google.com/open?id=1qOeb0Ri8k3_YJkeo0VbCslkOevyzc_GL"/>
        <s v="https://drive.google.com/open?id=1lBkuIKFCxm_sAhGnmHmfWF-nru43w09m"/>
        <s v="https://drive.google.com/open?id=1LCFjfwP8etb19BDDuCEoq1Z5gUJPpKm-"/>
        <s v="https://drive.google.com/open?id=1aeHyJPhI4QNoXZAdMmB35wC5GXrOF5mr"/>
        <s v="https://drive.google.com/open?id=1yqq498E50Eo8cKwAJHXAyZ4IuQBSUUMN"/>
        <s v="https://drive.google.com/open?id=1Ldjo9UP_ODjtqO4bg9scVGqXO47eUz24"/>
        <s v="https://drive.google.com/open?id=1zcjgkdBHZIzDRcN4L-ryCk69hw2hcfhq"/>
        <s v="https://drive.google.com/open?id=1ckV_I_bRynVWOWFV37jCEgr8amAzilhf"/>
        <s v="https://drive.google.com/open?id=1kjeg2SWtkIAlOwm4REeSs2FFydkEe9yB"/>
        <s v="https://drive.google.com/open?id=1vMWaK3lMiqPHz6WpbiCj087idn4URj-b"/>
        <s v="https://drive.google.com/open?id=1XfCjRxVftK_exqoasZyGZwX5aPMPpNjx"/>
        <s v="https://drive.google.com/open?id=1SbnPNPziakaSq0xGgjbiL7FSScEIDeGV"/>
        <s v="https://drive.google.com/open?id=1wtDD6Pbxw7NcuSNRh-GNiqesjLtXtDk3"/>
      </sharedItems>
    </cacheField>
    <cacheField name="Jumlah edukasi - isi dengan angka. Cth: 2&#10;&#10;(Target 30 hari: 600 edukasi Gemini)">
      <sharedItems containsMixedTypes="1" containsNumber="1" containsInteger="1">
        <n v="25.0"/>
        <n v="20.0"/>
        <n v="15.0"/>
        <n v="21.0"/>
        <n v="10.0"/>
        <n v="30.0"/>
        <n v="16.0"/>
        <n v="28.0"/>
        <n v="13.0"/>
        <n v="11.0"/>
        <n v="1.0"/>
        <n v="35.0"/>
        <n v="12.0"/>
        <n v="22.0"/>
        <n v="0.0"/>
        <n v="19.0"/>
        <n v="3.0"/>
        <n v="50.0"/>
        <s v="* 8"/>
        <n v="42.0"/>
        <n v="17.0"/>
        <n v="14.0"/>
        <n v="8.0"/>
      </sharedItems>
    </cacheField>
    <cacheField name="Bukti Foto Edukasi" numFmtId="0">
      <sharedItems containsString="0" containsBlank="1">
        <m/>
      </sharedItems>
    </cacheField>
    <cacheField name="Jumlah penjualan Kartu Perdana - isi dengan angka. Cth: 2 &#10;&#10;(Target 30 hari: 100 Kartu Perdana terjual)">
      <sharedItems containsMixedTypes="1" containsNumber="1" containsInteger="1">
        <n v="2.0"/>
        <s v="-"/>
        <n v="0.0"/>
        <n v="1.0"/>
        <n v="4.0"/>
        <n v="3.0"/>
        <n v="6.0"/>
        <n v="5.0"/>
        <n v="20.0"/>
        <n v="14.0"/>
        <n v="16.0"/>
        <s v="* 2"/>
        <n v="13.0"/>
      </sharedItems>
    </cacheField>
    <cacheField name="Jumlah penjualan Paket Isi Ulang - isi dengan angka. Cth: 2 &#10;&#10;(Target 30 hari: 200 Paket Isi Ulang terjual)">
      <sharedItems containsMixedTypes="1" containsNumber="1" containsInteger="1">
        <n v="2.0"/>
        <n v="1.0"/>
        <n v="0.0"/>
        <n v="8.0"/>
        <n v="3.0"/>
        <n v="7.0"/>
        <n v="5.0"/>
        <n v="11.0"/>
        <n v="4.0"/>
        <s v="-"/>
        <s v="*0"/>
        <n v="21.0"/>
        <n v="10.0"/>
        <n v="6.0"/>
      </sharedItems>
    </cacheField>
    <cacheField name="Bukti Foto Penjualan" numFmtId="0">
      <sharedItems containsBlank="1">
        <s v="https://drive.google.com/open?id=1oIOUzU-6syELylsqkEmcThJ9uVPW2xQr"/>
        <s v="https://drive.google.com/open?id=1mEoVkjUpUGm7AXRtQjlbhm0vp4uzpwPS"/>
        <s v="https://drive.google.com/open?id=1eGGDPXpLfXnwWmMCQtzRB_NOs9SeUBZ-"/>
        <s v="https://drive.google.com/open?id=1-ThJLVrEd83eeDgCXfPuR3PG9LAUiN_C"/>
        <m/>
        <s v="https://drive.google.com/open?id=1734qkASzAXnmBnVw5QwEgNPnbqAXgrle"/>
        <s v="https://drive.google.com/open?id=1T01dB_Qa6_K4fAkRnhp7OxCaWKQYQ_y5"/>
        <s v="https://drive.google.com/open?id=1KnO7feiU2JIqalE80SBl96dA7lt7kRbX"/>
        <s v="https://drive.google.com/open?id=1_axh8RdMSCe4MHIKmawedmfAEDmVT10I"/>
        <s v="https://drive.google.com/open?id=1qbccAb1fM95sgGRw_Th59baYdTWveasn"/>
        <s v="https://drive.google.com/open?id=1RyIrgLKTSH3LsSVqrFX72WDeuyNGSC4i"/>
        <s v="https://drive.google.com/open?id=1dWv_s9hWsTjKOIsU24MjgudG6riF0w_K"/>
        <s v="https://drive.google.com/open?id=1JxBcdNq1biAP-d-IPJbleakRhfWyNz7n"/>
        <s v="https://drive.google.com/open?id=1kJli75UXir3-lHrsjm3H7xtfBWAyGQbc"/>
        <s v="https://drive.google.com/open?id=1fw_RBuTSP5dgCxouqoefolt5akOG72lh"/>
        <s v="https://drive.google.com/open?id=1Df56W6QbbgXFzELL9f9MDpRqp3yIHRwX"/>
        <s v="https://drive.google.com/open?id=1uDz2FE_7TnRQKrU9HIaQb9EkPKdbp94-"/>
        <s v="https://drive.google.com/open?id=1GFFgmEJ_sxG9rwRhZU5eP8B3-STsvVrp"/>
        <s v="https://drive.google.com/open?id=1Yqj3vdLNrUCzoBTFh5TD_NR0v6DdyVbJ"/>
        <s v="https://drive.google.com/open?id=1s5A23fhoQXag_Np41E0Sn_AmwtiAOI98"/>
        <s v="https://drive.google.com/open?id=1bo7oWrYt4tDw0ACDBFoV_VU1WncLS0HA"/>
        <s v="https://drive.google.com/open?id=1Ba2kvmJlegrS1N1cbFdk1u8K7_8m2Mmv"/>
        <s v="https://drive.google.com/open?id=1j-QWnt6xItaqPUpQyyDHyvh--4-LrcYy"/>
        <s v="https://drive.google.com/open?id=16PuCm7Q0aRkNGOetnf-raBRLjtjp3w5t"/>
        <s v="https://drive.google.com/open?id=1y0oQzl4HHNw8WdJj-KikAYc-RZTTNNhH"/>
        <s v="https://drive.google.com/open?id=1dUKVO73oTaG8HCfpcs02MYzRYUM-NsZD"/>
        <s v="https://drive.google.com/open?id=1SkqhVpGvve4yjmeBkWVI0RcdF4s6OLvQ"/>
        <s v="https://drive.google.com/open?id=181LgwMZHVej-nNWqmjOihidOoQAuzv-z"/>
        <s v="https://drive.google.com/open?id=12xbIFlZG5MSkefK3QY2lnZd-3xnEUmJv"/>
        <s v="https://drive.google.com/open?id=163AI-pl8wT4lMqQMK7RZhgRdIn-ibIhj"/>
        <s v="https://drive.google.com/open?id=1QzxDtEjxXaSompp91QEVg08XGVYH79IJ"/>
        <s v="https://drive.google.com/open?id=14Jq2ukddK3cGk72kCGAv7BhHY8CzvEC2"/>
        <s v="https://drive.google.com/open?id=1Hlim4AHyfk0H4BweyJmYEoXEMOIfcdWv"/>
        <s v="https://drive.google.com/open?id=1LLN104CeO35TMc5xxa7CJB7otKmdM4L4"/>
        <s v="https://drive.google.com/open?id=1tAf5dKeVd7SNvoX4mqsub7sHd0AbC4OJ"/>
        <s v="https://drive.google.com/open?id=1pSkM4NFeERqKPp_YxB1GmifJiStwJ31o"/>
        <s v="https://drive.google.com/open?id=1lRwtKvPQX3cfYlhGnB3hHfW4ELFStGdy"/>
        <s v="https://drive.google.com/open?id=1A8nU_MBSkasSlGJGiyE34DhJ9pRa8XTp"/>
        <s v="https://drive.google.com/open?id=1Af3FaUrIr5twGF65XyP9gRInPnhCuyZW"/>
        <s v="https://drive.google.com/open?id=1JNVOmLBXpSj_O98Z2kXY123bQ90C1KKh"/>
        <s v="https://drive.google.com/open?id=1hyWDMwv2qkU_10P7KfPiYemHzldEB6pQ"/>
        <s v="https://drive.google.com/open?id=1MeFDWqg4u4Du8PHLDrpNAJnx6HTZ202s"/>
        <s v="https://drive.google.com/open?id=1ToHOS2OczGqn61_ZRl4qatL2205Lrwr_"/>
        <s v="https://drive.google.com/open?id=1HLkPR2GYp5jEf6uTDp8Fkh4gHjKMaWT4"/>
        <s v="https://drive.google.com/open?id=1qP2Wcbwr0rRF8cv9a_8ZHF4ekZ89cpuK"/>
      </sharedItems>
    </cacheField>
    <cacheField name="List No. HP yang terjual">
      <sharedItems containsMixedTypes="1" containsNumber="1" containsInteger="1">
        <s v="085712158277"/>
        <s v="-"/>
        <n v="0.0"/>
        <s v="085700543099"/>
        <s v="085738039362, 085738047670, 085738047673, 085738047668"/>
        <s v="085842015812/085842015815/085842015816"/>
        <n v="8.58124277860858E34"/>
        <s v="085812428671"/>
        <s v="085815427847"/>
        <s v="085726877756"/>
        <s v="085643856478"/>
        <s v="085712159158, 085712159161, 085842036537, 085842036536"/>
        <s v="085741709397, 085741709395,085741709357,085741709358,085741709398"/>
        <s v="085842036539"/>
        <s v="085743602938 - 085726877738"/>
        <n v="8.95703212129089E24"/>
        <s v="085712158671 085738047649 085712158572 085738047661 "/>
        <s v="085712158547 085738047698 085712158178 085712158113 "/>
        <s v="0895623101378"/>
        <s v="0895622995017"/>
        <s v="085842015930, 6285801224329"/>
        <s v="085842015986/085801224328"/>
        <s v="085842015925, 085842015501, 085842015496"/>
        <s v="085842015859"/>
        <s v="085842015862"/>
        <s v="089682619888"/>
        <s v="085785767094 085785767095 085785767096 085785767097 085785767098 085785767099 085785767101 085785767102 085785767103 085785767104 085785767105 085785767106 085785767107 085785767109 085785767110 085785767112 085785767113 085785767115 085785767116 08578576"/>
        <s v="0895703212135"/>
        <s v="085842036577  085712158704"/>
        <n v="8.58420155090858E22"/>
        <s v="085712158468"/>
        <s v="085842015909, 085842015504, 085842015922, 085791173154, 085791173163, 085842015271, 085842015968, 085842015860, 085842015987, 085791173136, 085791173151, 085842015502, 085842015271, 085842015971"/>
        <s v="085791173135, 085791173164,085842015961,085842015961,085791173172,085791173148,085791173122,085791173171,085842015974,085842015975,085842015979,085842015503,085842015805,085842015912,085842015808, 085842015806"/>
        <s v="1.089673499234   2. 0895634252328"/>
        <s v="0895622989306"/>
        <s v="085640075130, 089525608574, 089699089887, 0895423716868, 0895321446509, 089630640976, 089514775897"/>
        <s v="085738047717, 085738047718, 085738047713,085738047714"/>
        <s v="085738047715, 085738047716, 085712158768, 085712158757"/>
        <s v="08572687760"/>
        <s v="085726899957 - 085726900058 - 085726900050 - 085815609695"/>
        <n v="8.58420154950857E238"/>
        <n v="8.58420158730858E154"/>
        <s v="085738047698 085738047651 085738047698"/>
      </sharedItems>
    </cacheField>
    <cacheField name="List No. HP yang melakukan isi ulang">
      <sharedItems containsMixedTypes="1" containsNumber="1" containsInteger="1">
        <s v="085712158496"/>
        <s v="-"/>
        <n v="0.0"/>
        <s v="085738663017/085640655161/08570105586/085759812312"/>
        <n v="8.15750279190896E22"/>
        <s v="085729818109,‪085842908467‬,‪085812383603‬"/>
        <s v="085640229659, 089504994548, 085700935481, 085640881919, 085642215597, 085712407016, 085700501175"/>
        <n v="8.96626805010895E35"/>
        <s v="085603472060, 0895342284435, 089687572382, 085643856478, "/>
        <n v="8.56277372208564E131"/>
        <s v="085601230285"/>
        <s v="089602333258 089602338594 085725110191"/>
        <s v="085738663017/085640655161"/>
        <n v="8.58676858680812E22"/>
        <n v="8.15683475660895E34"/>
        <s v="085865947480, 085800110310, 081545617620, 081575497466"/>
        <s v="."/>
        <s v="+62 815-1737-7727"/>
        <s v="085712158303"/>
        <s v="085876920004, 085700501175"/>
        <s v="*0"/>
        <s v="085842015504, 085842015869, 085791173153, 085791173152, 085842015960, 085842015964, 085752024452, 085842015966, 0858702171538, 085842015927, 08157683435, 085842015923, 085842015980, 085842015272, 085652233575, 085842015499, 085878600507, 0859653943807, 08"/>
        <s v="089525608574"/>
        <s v="085602664267 - 085642100138 - 085727892269 -085641122496 -0895336260795 - 085815030148"/>
      </sharedItems>
    </cacheField>
    <cacheField name="Upload Foto Kepulangan dengan Time Stamp (untuk Bukti Kepulangan)" numFmtId="0">
      <sharedItems>
        <s v="https://drive.google.com/open?id=17SIi5Jp5UzgzD4hYTb8y7lAa6YrE5RKb"/>
        <s v="https://drive.google.com/open?id=1ojvsgi8v8FL6zucM-t7IHDorSrkyM3eQ"/>
        <s v="https://drive.google.com/open?id=1f_SVntkSwYGcSbkXyLkfu3ZNoxQo1wpM"/>
        <s v="https://drive.google.com/open?id=1hxjiffuH_B-JxCEheIrsg2vcBk71jVL8"/>
        <s v="https://drive.google.com/open?id=1f1hmUaqNFKKnWC23VMXNQWHjKvYm1-Z-"/>
        <s v="https://drive.google.com/open?id=1yf7_uhy5YlvL_PBJ_DFwc2O2aFaEAszm"/>
        <s v="https://drive.google.com/open?id=17o1q6Weg7MK-2RjfeUK0AgsNiHjyHewY"/>
        <s v="https://drive.google.com/open?id=1Ook2ja2dWudFMGMprxEJL7mBe_uxbJ5K"/>
        <s v="https://drive.google.com/open?id=1ThX6NakAj4HUCQEoXloyZGIIDhEE53Y8"/>
        <s v="https://drive.google.com/open?id=1DePGBUtgxK86JAM9M7XwKgpCdx7jTrg2"/>
        <s v="https://drive.google.com/open?id=1ShXcCvFkOAsaP_zPLEjTSK_B1y1FBDqH"/>
        <s v="https://drive.google.com/open?id=1hX0fn0IoCFzmi9WGRYWyMouh94_kos_C"/>
        <s v="https://drive.google.com/open?id=1235w2uLdrNrKHc_7uRsCNg4lQJo0pobe"/>
        <s v="https://drive.google.com/open?id=19jc7aoGpS_q3IYFuXf-U0EVdlIgHnpEG"/>
        <s v="https://drive.google.com/open?id=1p8NL12gvj_u9ruTtV4BjJut4_9s6szW-"/>
        <s v="https://drive.google.com/open?id=1dEGkVSwBkZcU77noaaRj_SY79IRQA7rZ"/>
        <s v="https://drive.google.com/open?id=1AqHQL2ECVhBNwO5BMy7DZ-I0Fgb3O2BE"/>
        <s v="https://drive.google.com/open?id=12AWkoUAlYKvTcHV9J6NgYVZWrVY6dI18"/>
        <s v="https://drive.google.com/open?id=1c4gm9wiKFgPWsQ9J9Lj27LJde0NgBo3b"/>
        <s v="https://drive.google.com/open?id=163wpKzkwKIxrA7qyPKpl2602I6rBBamf"/>
        <s v="https://drive.google.com/open?id=15VEFiXchewIvCDCmkfAjq1DdkdZhfUU2"/>
        <s v="https://drive.google.com/open?id=1ThoO1n--rtL3qr964FbUNA79XzaXbsaS"/>
        <s v="https://drive.google.com/open?id=1t5yS6ShG7RzxPMCzlPJ-Dl5cpmcXOIcE"/>
        <s v="https://drive.google.com/open?id=1ltj3GBUQmxRXH6OP0rHSnEDYw-_WW4yL"/>
        <s v="https://drive.google.com/open?id=1MN5BZTEZ4quVNQU_AcxQvAV7DHgCs5j9"/>
        <s v="https://drive.google.com/open?id=1XnJ9zQiTI9lLIe4rZAneYjAAB0bojO9W"/>
        <s v="https://drive.google.com/open?id=1bxC_fHi9drCz78bDjtTYw3g8c3XLUqRt"/>
        <s v="https://drive.google.com/open?id=1uMO7r6xbEpM71p-jC4QtfIwRxUwDnO2Y"/>
        <s v="https://drive.google.com/open?id=1RXEiBe-9Xbkbqk_mqODjwaq3yk0z3fc2"/>
        <s v="https://drive.google.com/open?id=19DnwMUSEraGmhJOCWmebvDnKw9ZPnc4G"/>
        <s v="https://drive.google.com/open?id=195jZIbrK1QwMfiScpfGS509nA3oC_nB5"/>
        <s v="https://drive.google.com/open?id=1otstqmBjZnGHu_W3CSxtI8eZgxU-ZE5g"/>
        <s v="https://drive.google.com/open?id=1Om_2kjoU-3xE5RPGz3_n88UkOleGuIMx"/>
        <s v="https://drive.google.com/open?id=1b0fOhD5sG6x8weDWj2THFiYzcM6sdVdg"/>
        <s v="https://drive.google.com/open?id=1jRXVacmhTJmnk6sL25gyT7uKTQr5lFkn"/>
        <s v="https://drive.google.com/open?id=1jc4qnTAqf2ZTNWILsFU1_upmRn_Vu7PX"/>
        <s v="https://drive.google.com/open?id=1B5IM5RZEP6Dp3BMi4qnPib2K1Ybk6gZP"/>
        <s v="https://drive.google.com/open?id=1Wck4MlP7nINUSLKN93TVQshS2TvEtqIn"/>
        <s v="https://drive.google.com/open?id=1VvgxBv7e6mhn5im49UX4iz-VWgFsEUnp"/>
        <s v="https://drive.google.com/open?id=1GsVIcQhieEc6XAzKQU8Wi-7VxgfQKlkV"/>
        <s v="https://drive.google.com/open?id=1gjS8pZYc6-gNFQSk-GByhtMt0cr6d022"/>
        <s v="https://drive.google.com/open?id=1fPZd5danS3zON9d6v285XBBaOxDqsQ5k"/>
        <s v="https://drive.google.com/open?id=17v10QCZFMZY-TApGx5xQYvofa1MOdKCF"/>
        <s v="https://drive.google.com/open?id=12HWn2K-EcXVPngRqSP2hPFXAj1bdcSDL"/>
        <s v="https://drive.google.com/open?id=19hRDWlMk8TuGYdyg2nCX1iiA707ZXSKd"/>
        <s v="https://drive.google.com/open?id=1WTY6b8XTZcEsYU6CY3KRa_Bn1wFCr29x"/>
        <s v="https://drive.google.com/open?id=1xDCP4Idm-JdOBmwkw5Ud9Bew6d8snO1a"/>
        <s v="https://drive.google.com/open?id=1gQQzXjhmj0pwXbE0IAKe_wizZ2OBmPT_"/>
        <s v="https://drive.google.com/open?id=1eYptKW9CrmqQm21Yau8_oBM52l2c3R8T"/>
        <s v="https://drive.google.com/open?id=1nykUK4p-aS9XjUF1uPZEa7A9nSpfF1AN"/>
        <s v="https://drive.google.com/open?id=1nDOnwoGcpOddJmYhDQ08hstZgFLP-poD"/>
        <s v="https://drive.google.com/open?id=1y9dMzBbC6sB7xfOAkkcyZVClWC4LDWbB"/>
        <s v="https://drive.google.com/open?id=1RH_7Ep5Na4v2kK9fRPIzwPpnmpmSYj3w"/>
      </sharedItems>
    </cacheField>
    <cacheField name="Jumlah aktivasi Gemini dari orang yang diedukasi">
      <sharedItems containsMixedTypes="1" containsNumber="1" containsInteger="1">
        <n v="2.0"/>
        <n v="0.0"/>
        <n v="1.0"/>
        <n v="4.0"/>
        <n v="9.0"/>
        <n v="17.0"/>
        <n v="13.0"/>
        <n v="10.0"/>
        <n v="15.0"/>
        <n v="6.0"/>
        <n v="16.0"/>
        <n v="5.0"/>
        <n v="8.0"/>
        <n v="7.0"/>
        <n v="3.0"/>
        <n v="20.0"/>
        <n v="12.0"/>
        <n v="14.0"/>
        <n v="30.0"/>
        <s v="* 2"/>
        <n v="21.0"/>
        <n v="27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All Circle" cacheId="0" dataCaption="" compact="0" compactData="0">
  <location ref="J5:M10" firstHeaderRow="0" firstDataRow="2" firstDataCol="0"/>
  <pivotFields>
    <pivotField name="Timesta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t="default"/>
      </items>
    </pivotField>
    <pivotField name="Hari &amp; Tangg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gion" axis="axisRow" compact="0" outline="0" multipleItemSelectionAllowed="1" showAll="0" sortType="ascending">
      <items>
        <item x="2"/>
        <item x="1"/>
        <item x="0"/>
        <item x="3"/>
        <item t="default"/>
      </items>
    </pivotField>
    <pivotField name="Area Penemp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ama Promo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Nama Outl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Upload Foto Kehadiran dengan Time Stamp (untuk Bukti Kehadira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t="default"/>
      </items>
    </pivotField>
    <pivotField name="Jumlah edukasi - isi dengan angka. Cth: 2&#10;&#10;(Target 30 hari: 600 edukasi Gemini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Bukti Foto Edukasi" compact="0" outline="0" multipleItemSelectionAllowed="1" showAll="0">
      <items>
        <item x="0"/>
        <item x="1"/>
        <item t="default"/>
      </items>
    </pivotField>
    <pivotField name="Jumlah penjualan Kartu Perdana - isi dengan angka. Cth: 2 &#10;&#10;(Target 30 hari: 100 Kartu Perdana terjual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Jumlah penjualan Paket Isi Ulang - isi dengan angka. Cth: 2 &#10;&#10;(Target 30 hari: 200 Paket Isi Ulang terjual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Bukti Foto Penjua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name="List No. HP yang terj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name="List No. HP yang melakukan isi ula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Upload Foto Kepulangan dengan Time Stamp (untuk Bukti Kepulanga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t="default"/>
      </items>
    </pivotField>
    <pivotField name="Jumlah aktivasi Gemini dari orang yang diedukas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hari &amp; tanggal2" compact="0" outline="0" multipleItemSelectionAllowed="1" showAll="0">
      <items>
        <item x="0"/>
        <item t="default"/>
      </items>
    </pivotField>
    <pivotField name="Brand" compact="0" outline="0" multipleItemSelectionAllowed="1" showAll="0">
      <items>
        <item x="0"/>
        <item t="default"/>
      </items>
    </pivotField>
    <pivotField name="Column 1" compact="0" outline="0" multipleItemSelectionAllowed="1" showAll="0">
      <items>
        <item x="0"/>
        <item x="1"/>
        <item t="default"/>
      </items>
    </pivotField>
    <pivotField name="Column 20" compact="0" outline="0" multipleItemSelectionAllowed="1" showAll="0">
      <items>
        <item x="0"/>
        <item t="default"/>
      </items>
    </pivotField>
  </pivotFields>
  <rowFields>
    <field x="2"/>
  </rowFields>
  <colFields>
    <field x="-2"/>
  </colFields>
  <dataFields>
    <dataField name="SUM of Jumlah edukasi - isi dengan angka. Cth: 2&#10;&#10;(Target 30 hari: 600 edukasi Gemini)" fld="7" baseField="0"/>
    <dataField name="SUM of Jumlah penjualan Paket Isi Ulang - isi dengan angka. Cth: 2 &#10;&#10;(Target 30 hari: 200 Paket Isi Ulang terjual)" fld="10" baseField="0"/>
    <dataField name="SUM of Jumlah penjualan Kartu Perdana - isi dengan angka. Cth: 2 &#10;&#10;(Target 30 hari: 100 Kartu Perdana terjual)" fld="9" baseField="0"/>
  </dataFields>
</pivotTableDefinition>
</file>

<file path=xl/pivotTables/pivotTable2.xml><?xml version="1.0" encoding="utf-8"?>
<pivotTableDefinition xmlns="http://schemas.openxmlformats.org/spreadsheetml/2006/main" name="Pivot Table 2" cacheId="1" dataCaption="" compact="0" compactData="0">
  <location ref="A1:D56" firstHeaderRow="0" firstDataRow="2" firstDataCol="0"/>
  <pivotFields>
    <pivotField name="Timesta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t="default"/>
      </items>
    </pivotField>
    <pivotField name="Hari &amp; Tangg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rea Penemp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ama Promotor" axis="axisRow" compact="0" outline="0" multipleItemSelectionAllowed="1" showAll="0" sortType="ascending">
      <items>
        <item sd="0" x="53"/>
        <item x="0"/>
        <item x="1"/>
        <item sd="0" x="2"/>
        <item sd="0" x="3"/>
        <item sd="0" x="4"/>
        <item sd="0"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36"/>
        <item x="51"/>
        <item x="20"/>
        <item x="21"/>
        <item x="22"/>
        <item x="23"/>
        <item x="24"/>
        <item x="52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Nama Outl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Upload Foto Kehadiran dengan Time Stamp (untuk Bukti Kehadira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t="default"/>
      </items>
    </pivotField>
    <pivotField name="Jumlah edukasi - isi dengan angka. Cth: 2&#10;&#10;(Target 30 hari: 600 edukasi Gemini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Bukti Foto Edukasi" compact="0" outline="0" multipleItemSelectionAllowed="1" showAll="0">
      <items>
        <item x="0"/>
        <item x="1"/>
        <item t="default"/>
      </items>
    </pivotField>
    <pivotField name="Jumlah penjualan Kartu Perdana - isi dengan angka. Cth: 2 &#10;&#10;(Target 30 hari: 100 Kartu Perdana terjual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Jumlah penjualan Paket Isi Ulang - isi dengan angka. Cth: 2 &#10;&#10;(Target 30 hari: 200 Paket Isi Ulang terjual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Bukti Foto Penjua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name="List No. HP yang terj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t="default"/>
      </items>
    </pivotField>
    <pivotField name="List No. HP yang melakukan isi ula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Upload Foto Kepulangan dengan Time Stamp (untuk Bukti Kepulanga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t="default"/>
      </items>
    </pivotField>
    <pivotField name="Jumlah aktivasi Gemini dari orang yang diedukas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hari &amp; tanggal2" compact="0" outline="0" multipleItemSelectionAllowed="1" showAll="0">
      <items>
        <item x="0"/>
        <item t="default"/>
      </items>
    </pivotField>
    <pivotField name="Brand" compact="0" outline="0" multipleItemSelectionAllowed="1" showAll="0">
      <items>
        <item x="0"/>
        <item t="default"/>
      </items>
    </pivotField>
    <pivotField name="Column 1" compact="0" outline="0" multipleItemSelectionAllowed="1" showAll="0">
      <items>
        <item x="0"/>
        <item x="1"/>
        <item t="default"/>
      </items>
    </pivotField>
    <pivotField name="Column 20" compact="0" outline="0" multipleItemSelectionAllowed="1" showAll="0">
      <items>
        <item x="0"/>
        <item t="default"/>
      </items>
    </pivotField>
    <pivotField name=" " compact="0" outline="0" multipleItemSelectionAllowed="1" showAll="0">
      <items>
        <item x="0"/>
        <item x="1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4"/>
  </rowFields>
  <colFields>
    <field x="-2"/>
  </colFields>
  <dataFields>
    <dataField name="SUM of Jumlah penjualan Kartu Perdana - isi dengan angka. Cth: 2 &#10;&#10;(Target 30 hari: 100 Kartu Perdana terjual)" fld="9" baseField="0"/>
    <dataField name="SUM of Jumlah aktivasi Gemini dari orang yang diedukasi" fld="15" baseField="0"/>
    <dataField name="SUM of Jumlah penjualan Paket Isi Ulang - isi dengan angka. Cth: 2 &#10;&#10;(Target 30 hari: 200 Paket Isi Ulang terjual)" fld="10" baseField="0"/>
  </dataFields>
</pivotTableDefinition>
</file>

<file path=xl/pivotTables/pivotTable3.xml><?xml version="1.0" encoding="utf-8"?>
<pivotTableDefinition xmlns="http://schemas.openxmlformats.org/spreadsheetml/2006/main" name="Pivot Table 2 3" cacheId="0" dataCaption="" compact="0" compactData="0">
  <location ref="E2:J68" firstHeaderRow="0" firstDataRow="3" firstDataCol="0"/>
  <pivotFields>
    <pivotField name="Timesta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t="default"/>
      </items>
    </pivotField>
    <pivotField name="Hari &amp; Tangg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Area Penempatan" axis="axisRow" compact="0" outline="0" multipleItemSelectionAllowed="1" showAll="0" sortType="ascending">
      <items>
        <item x="10"/>
        <item x="9"/>
        <item x="8"/>
        <item x="3"/>
        <item x="1"/>
        <item x="2"/>
        <item x="7"/>
        <item x="6"/>
        <item x="5"/>
        <item x="0"/>
        <item x="4"/>
        <item t="default"/>
      </items>
    </pivotField>
    <pivotField name="Nama Promotor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36"/>
        <item x="51"/>
        <item x="20"/>
        <item x="21"/>
        <item x="22"/>
        <item x="23"/>
        <item x="24"/>
        <item x="52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Nama Outl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Upload Foto Kehadiran dengan Time Stamp (untuk Bukti Kehadira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t="default"/>
      </items>
    </pivotField>
    <pivotField name="Jumlah edukasi - isi dengan angka. Cth: 2&#10;&#10;(Target 30 hari: 600 edukasi Gemini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Bukti Foto Edukasi" compact="0" outline="0" multipleItemSelectionAllowed="1" showAll="0">
      <items>
        <item x="0"/>
        <item x="1"/>
        <item t="default"/>
      </items>
    </pivotField>
    <pivotField name="Jumlah penjualan Kartu Perdana - isi dengan angka. Cth: 2 &#10;&#10;(Target 30 hari: 100 Kartu Perdana terjual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Jumlah penjualan Paket Isi Ulang - isi dengan angka. Cth: 2 &#10;&#10;(Target 30 hari: 200 Paket Isi Ulang terjual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Bukti Foto Penjua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name="List No. HP yang terj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name="List No. HP yang melakukan isi ula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Upload Foto Kepulangan dengan Time Stamp (untuk Bukti Kepulanga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t="default"/>
      </items>
    </pivotField>
    <pivotField name="Jumlah aktivasi Gemini dari orang yang diedukas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hari &amp; tanggal2" compact="0" outline="0" multipleItemSelectionAllowed="1" showAll="0">
      <items>
        <item x="0"/>
        <item t="default"/>
      </items>
    </pivotField>
    <pivotField name="Brand" compact="0" outline="0" multipleItemSelectionAllowed="1" showAll="0">
      <items>
        <item x="0"/>
        <item t="default"/>
      </items>
    </pivotField>
    <pivotField name="Column 1" compact="0" outline="0" multipleItemSelectionAllowed="1" showAll="0">
      <items>
        <item x="0"/>
        <item x="1"/>
        <item t="default"/>
      </items>
    </pivotField>
    <pivotField name="Column 20" compact="0" outline="0" multipleItemSelectionAllowed="1" showAll="0">
      <items>
        <item x="0"/>
        <item t="default"/>
      </items>
    </pivotField>
  </pivotFields>
  <rowFields>
    <field x="3"/>
    <field x="4"/>
  </rowFields>
  <colFields>
    <field x="-2"/>
  </colFields>
  <dataFields>
    <dataField name="SUM of Jumlah edukasi - isi dengan angka. Cth: 2&#10;&#10;(Target 30 hari: 600 edukasi Gemini)" fld="7" baseField="0"/>
    <dataField name="SUM of Jumlah penjualan Paket Isi Ulang - isi dengan angka. Cth: 2 &#10;&#10;(Target 30 hari: 200 Paket Isi Ulang terjual)" fld="10" baseField="0"/>
    <dataField name="SUM of Jumlah penjualan Kartu Perdana - isi dengan angka. Cth: 2 &#10;&#10;(Target 30 hari: 100 Kartu Perdana terjual)" fld="9" baseField="0"/>
    <dataField name="SUM of Jumlah aktivasi Gemini dari orang yang diedukasi" fld="15" baseField="0"/>
  </dataFields>
</pivotTableDefinition>
</file>

<file path=xl/pivotTables/pivotTable4.xml><?xml version="1.0" encoding="utf-8"?>
<pivotTableDefinition xmlns="http://schemas.openxmlformats.org/spreadsheetml/2006/main" name="!All Circle  2" cacheId="0" dataCaption="" compact="0" compactData="0">
  <location ref="W3:AA8" firstHeaderRow="0" firstDataRow="2" firstDataCol="0"/>
  <pivotFields>
    <pivotField name="Timesta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t="default"/>
      </items>
    </pivotField>
    <pivotField name="Hari &amp; Tangg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gion" axis="axisRow" compact="0" outline="0" multipleItemSelectionAllowed="1" showAll="0" sortType="ascending">
      <items>
        <item x="2"/>
        <item x="1"/>
        <item x="0"/>
        <item x="3"/>
        <item t="default"/>
      </items>
    </pivotField>
    <pivotField name="Area Penemp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ama Promo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Nama Outl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Upload Foto Kehadiran dengan Time Stamp (untuk Bukti Kehadira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t="default"/>
      </items>
    </pivotField>
    <pivotField name="Jumlah edukasi - isi dengan angka. Cth: 2&#10;&#10;(Target 30 hari: 600 edukasi Gemini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Bukti Foto Edukasi" compact="0" outline="0" multipleItemSelectionAllowed="1" showAll="0">
      <items>
        <item x="0"/>
        <item x="1"/>
        <item t="default"/>
      </items>
    </pivotField>
    <pivotField name="Jumlah penjualan Kartu Perdana - isi dengan angka. Cth: 2 &#10;&#10;(Target 30 hari: 100 Kartu Perdana terjual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Jumlah penjualan Paket Isi Ulang - isi dengan angka. Cth: 2 &#10;&#10;(Target 30 hari: 200 Paket Isi Ulang terjual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Bukti Foto Penjua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name="List No. HP yang terj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name="List No. HP yang melakukan isi ula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Upload Foto Kepulangan dengan Time Stamp (untuk Bukti Kepulanga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t="default"/>
      </items>
    </pivotField>
    <pivotField name="Jumlah aktivasi Gemini dari orang yang diedukas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hari &amp; tanggal2" compact="0" outline="0" multipleItemSelectionAllowed="1" showAll="0">
      <items>
        <item x="0"/>
        <item t="default"/>
      </items>
    </pivotField>
    <pivotField name="Brand" compact="0" outline="0" multipleItemSelectionAllowed="1" showAll="0">
      <items>
        <item x="0"/>
        <item t="default"/>
      </items>
    </pivotField>
    <pivotField name="Column 1" compact="0" outline="0" multipleItemSelectionAllowed="1" showAll="0">
      <items>
        <item x="0"/>
        <item x="1"/>
        <item t="default"/>
      </items>
    </pivotField>
    <pivotField name="Column 20" compact="0" outline="0" multipleItemSelectionAllowed="1" showAll="0">
      <items>
        <item x="0"/>
        <item t="default"/>
      </items>
    </pivotField>
  </pivotFields>
  <rowFields>
    <field x="2"/>
  </rowFields>
  <colFields>
    <field x="-2"/>
  </colFields>
  <dataFields>
    <dataField name="Edukasi" fld="7" baseField="0"/>
    <dataField name="Rebuy" fld="10" baseField="0"/>
    <dataField name="Akusisi" fld="9" baseField="0"/>
    <dataField name="Aktivasi Gemini" fld="15" baseField="0"/>
  </dataFields>
</pivotTableDefinition>
</file>

<file path=xl/pivotTables/pivotTable5.xml><?xml version="1.0" encoding="utf-8"?>
<pivotTableDefinition xmlns="http://schemas.openxmlformats.org/spreadsheetml/2006/main" name="Promotor Rank" cacheId="0" dataCaption="" compact="0" compactData="0">
  <location ref="B4:F25" firstHeaderRow="0" firstDataRow="2" firstDataCol="0" rowPageCount="1" colPageCount="1"/>
  <pivotFields>
    <pivotField name="Timesta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t="default"/>
      </items>
    </pivotField>
    <pivotField name="Hari &amp; Tangg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gion" axis="axisPage" compact="0" outline="0" multipleItemSelectionAllowed="1" showAll="0">
      <items>
        <item x="0"/>
        <item h="1" x="1"/>
        <item h="1" x="2"/>
        <item h="1" x="3"/>
        <item t="default"/>
      </items>
    </pivotField>
    <pivotField name="Area Penemp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ama Promotor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36"/>
        <item x="51"/>
        <item x="20"/>
        <item x="21"/>
        <item x="22"/>
        <item x="23"/>
        <item x="24"/>
        <item x="52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Nama Outl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Upload Foto Kehadiran dengan Time Stamp (untuk Bukti Kehadira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t="default"/>
      </items>
    </pivotField>
    <pivotField name="Jumlah edukasi - isi dengan angka. Cth: 2&#10;&#10;(Target 30 hari: 600 edukasi Gemini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Bukti Foto Edukasi" compact="0" outline="0" multipleItemSelectionAllowed="1" showAll="0">
      <items>
        <item x="0"/>
        <item x="1"/>
        <item t="default"/>
      </items>
    </pivotField>
    <pivotField name="Jumlah penjualan Kartu Perdana - isi dengan angka. Cth: 2 &#10;&#10;(Target 30 hari: 100 Kartu Perdana terjual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Jumlah penjualan Paket Isi Ulang - isi dengan angka. Cth: 2 &#10;&#10;(Target 30 hari: 200 Paket Isi Ulang terjual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Bukti Foto Penjua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name="List No. HP yang terj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name="List No. HP yang melakukan isi ula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Upload Foto Kepulangan dengan Time Stamp (untuk Bukti Kepulanga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t="default"/>
      </items>
    </pivotField>
    <pivotField name="Jumlah aktivasi Gemini dari orang yang diedukas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hari &amp; tanggal2" compact="0" outline="0" multipleItemSelectionAllowed="1" showAll="0">
      <items>
        <item x="0"/>
        <item t="default"/>
      </items>
    </pivotField>
    <pivotField name="Brand" compact="0" outline="0" multipleItemSelectionAllowed="1" showAll="0">
      <items>
        <item x="0"/>
        <item t="default"/>
      </items>
    </pivotField>
    <pivotField name="Column 1" compact="0" outline="0" multipleItemSelectionAllowed="1" showAll="0">
      <items>
        <item x="0"/>
        <item x="1"/>
        <item t="default"/>
      </items>
    </pivotField>
    <pivotField name="Column 20" compact="0" outline="0" multipleItemSelectionAllowed="1" showAll="0">
      <items>
        <item x="0"/>
        <item t="default"/>
      </items>
    </pivotField>
  </pivotFields>
  <rowFields>
    <field x="4"/>
  </rowFields>
  <colFields>
    <field x="-2"/>
  </colFields>
  <pageFields>
    <pageField fld="2"/>
  </pageFields>
  <dataFields>
    <dataField name="SUM of Jumlah edukasi - isi dengan angka. Cth: 2&#10;&#10;(Target 30 hari: 600 edukasi Gemini)" fld="7" baseField="0"/>
    <dataField name="SUM of Jumlah penjualan Paket Isi Ulang - isi dengan angka. Cth: 2 &#10;&#10;(Target 30 hari: 200 Paket Isi Ulang terjual)" fld="10" baseField="0"/>
    <dataField name="SUM of Jumlah penjualan Kartu Perdana - isi dengan angka. Cth: 2 &#10;&#10;(Target 30 hari: 100 Kartu Perdana terjual)" fld="9" baseField="0"/>
    <dataField name="SUM of Jumlah aktivasi Gemini dari orang yang diedukasi" fld="15" baseField="0"/>
  </dataFields>
</pivotTableDefinition>
</file>

<file path=xl/pivotTables/pivotTable6.xml><?xml version="1.0" encoding="utf-8"?>
<pivotTableDefinition xmlns="http://schemas.openxmlformats.org/spreadsheetml/2006/main" name="Promotor Rank 2" cacheId="0" dataCaption="" compact="0" compactData="0">
  <location ref="B27:G62" firstHeaderRow="0" firstDataRow="3" firstDataCol="0" rowPageCount="1" colPageCount="1"/>
  <pivotFields>
    <pivotField name="Timesta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t="default"/>
      </items>
    </pivotField>
    <pivotField name="Hari &amp; Tangg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gion" axis="axisPage" compact="0" outline="0" multipleItemSelectionAllowed="1" showAll="0">
      <items>
        <item h="1" x="0"/>
        <item x="1"/>
        <item h="1" x="2"/>
        <item h="1" x="3"/>
        <item t="default"/>
      </items>
    </pivotField>
    <pivotField name="Area Penempatan" axis="axisRow" compact="0" outline="0" multipleItemSelectionAllowed="1" showAll="0" sortType="ascending">
      <items>
        <item x="10"/>
        <item x="9"/>
        <item x="8"/>
        <item x="3"/>
        <item x="1"/>
        <item x="2"/>
        <item x="7"/>
        <item x="6"/>
        <item x="5"/>
        <item x="0"/>
        <item x="4"/>
        <item t="default"/>
      </items>
    </pivotField>
    <pivotField name="Nama Promotor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36"/>
        <item x="51"/>
        <item x="20"/>
        <item x="21"/>
        <item x="22"/>
        <item x="23"/>
        <item x="24"/>
        <item x="52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Nama Outl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Upload Foto Kehadiran dengan Time Stamp (untuk Bukti Kehadira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t="default"/>
      </items>
    </pivotField>
    <pivotField name="Jumlah edukasi - isi dengan angka. Cth: 2&#10;&#10;(Target 30 hari: 600 edukasi Gemini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Bukti Foto Edukasi" compact="0" outline="0" multipleItemSelectionAllowed="1" showAll="0">
      <items>
        <item x="0"/>
        <item x="1"/>
        <item t="default"/>
      </items>
    </pivotField>
    <pivotField name="Jumlah penjualan Kartu Perdana - isi dengan angka. Cth: 2 &#10;&#10;(Target 30 hari: 100 Kartu Perdana terjual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Jumlah penjualan Paket Isi Ulang - isi dengan angka. Cth: 2 &#10;&#10;(Target 30 hari: 200 Paket Isi Ulang terjual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Bukti Foto Penjua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name="List No. HP yang terj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name="List No. HP yang melakukan isi ula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Upload Foto Kepulangan dengan Time Stamp (untuk Bukti Kepulanga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t="default"/>
      </items>
    </pivotField>
    <pivotField name="Jumlah aktivasi Gemini dari orang yang diedukas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hari &amp; tanggal2" compact="0" outline="0" multipleItemSelectionAllowed="1" showAll="0">
      <items>
        <item x="0"/>
        <item t="default"/>
      </items>
    </pivotField>
    <pivotField name="Brand" compact="0" outline="0" multipleItemSelectionAllowed="1" showAll="0">
      <items>
        <item x="0"/>
        <item t="default"/>
      </items>
    </pivotField>
    <pivotField name="Column 1" compact="0" outline="0" multipleItemSelectionAllowed="1" showAll="0">
      <items>
        <item x="0"/>
        <item x="1"/>
        <item t="default"/>
      </items>
    </pivotField>
    <pivotField name="Column 20" compact="0" outline="0" multipleItemSelectionAllowed="1" showAll="0">
      <items>
        <item x="0"/>
        <item t="default"/>
      </items>
    </pivotField>
  </pivotFields>
  <rowFields>
    <field x="3"/>
    <field x="4"/>
  </rowFields>
  <colFields>
    <field x="-2"/>
  </colFields>
  <pageFields>
    <pageField fld="2"/>
  </pageFields>
  <dataFields>
    <dataField name="SUM of Jumlah edukasi - isi dengan angka. Cth: 2&#10;&#10;(Target 30 hari: 600 edukasi Gemini)" fld="7" baseField="0"/>
    <dataField name="SUM of Jumlah penjualan Kartu Perdana - isi dengan angka. Cth: 2 &#10;&#10;(Target 30 hari: 100 Kartu Perdana terjual)" fld="9" baseField="0"/>
    <dataField name="SUM of Jumlah penjualan Paket Isi Ulang - isi dengan angka. Cth: 2 &#10;&#10;(Target 30 hari: 200 Paket Isi Ulang terjual)" fld="10" baseField="0"/>
    <dataField name="SUM of Jumlah aktivasi Gemini dari orang yang diedukasi" fld="15" baseField="0"/>
  </dataFields>
</pivotTableDefinition>
</file>

<file path=xl/pivotTables/pivotTable7.xml><?xml version="1.0" encoding="utf-8"?>
<pivotTableDefinition xmlns="http://schemas.openxmlformats.org/spreadsheetml/2006/main" name="Promotor Rank 3" cacheId="0" dataCaption="" compact="0" compactData="0">
  <location ref="B66:G73" firstHeaderRow="0" firstDataRow="3" firstDataCol="0" rowPageCount="1" colPageCount="1"/>
  <pivotFields>
    <pivotField name="Timesta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t="default"/>
      </items>
    </pivotField>
    <pivotField name="Hari &amp; Tangg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gion" axis="axisPage" compact="0" outline="0" multipleItemSelectionAllowed="1" showAll="0">
      <items>
        <item h="1" x="0"/>
        <item h="1" x="1"/>
        <item x="2"/>
        <item h="1" x="3"/>
        <item t="default"/>
      </items>
    </pivotField>
    <pivotField name="Area Penempatan" axis="axisRow" compact="0" outline="0" multipleItemSelectionAllowed="1" showAll="0" sortType="ascending">
      <items>
        <item x="10"/>
        <item x="9"/>
        <item x="8"/>
        <item x="3"/>
        <item x="1"/>
        <item x="2"/>
        <item x="7"/>
        <item x="6"/>
        <item x="5"/>
        <item x="0"/>
        <item x="4"/>
        <item t="default"/>
      </items>
    </pivotField>
    <pivotField name="Nama Promotor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36"/>
        <item x="51"/>
        <item x="20"/>
        <item x="21"/>
        <item x="22"/>
        <item x="23"/>
        <item x="24"/>
        <item x="52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Nama Outl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Upload Foto Kehadiran dengan Time Stamp (untuk Bukti Kehadira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t="default"/>
      </items>
    </pivotField>
    <pivotField name="Jumlah edukasi - isi dengan angka. Cth: 2&#10;&#10;(Target 30 hari: 600 edukasi Gemini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Bukti Foto Edukasi" compact="0" outline="0" multipleItemSelectionAllowed="1" showAll="0">
      <items>
        <item x="0"/>
        <item x="1"/>
        <item t="default"/>
      </items>
    </pivotField>
    <pivotField name="Jumlah penjualan Kartu Perdana - isi dengan angka. Cth: 2 &#10;&#10;(Target 30 hari: 100 Kartu Perdana terjual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Jumlah penjualan Paket Isi Ulang - isi dengan angka. Cth: 2 &#10;&#10;(Target 30 hari: 200 Paket Isi Ulang terjual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Bukti Foto Penjua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name="List No. HP yang terj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name="List No. HP yang melakukan isi ula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Upload Foto Kepulangan dengan Time Stamp (untuk Bukti Kepulanga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t="default"/>
      </items>
    </pivotField>
    <pivotField name="Jumlah aktivasi Gemini dari orang yang diedukas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hari &amp; tanggal2" compact="0" outline="0" multipleItemSelectionAllowed="1" showAll="0">
      <items>
        <item x="0"/>
        <item t="default"/>
      </items>
    </pivotField>
    <pivotField name="Brand" compact="0" outline="0" multipleItemSelectionAllowed="1" showAll="0">
      <items>
        <item x="0"/>
        <item t="default"/>
      </items>
    </pivotField>
    <pivotField name="Column 1" compact="0" outline="0" multipleItemSelectionAllowed="1" showAll="0">
      <items>
        <item x="0"/>
        <item x="1"/>
        <item t="default"/>
      </items>
    </pivotField>
    <pivotField name="Column 20" compact="0" outline="0" multipleItemSelectionAllowed="1" showAll="0">
      <items>
        <item x="0"/>
        <item t="default"/>
      </items>
    </pivotField>
  </pivotFields>
  <rowFields>
    <field x="3"/>
    <field x="4"/>
  </rowFields>
  <colFields>
    <field x="-2"/>
  </colFields>
  <pageFields>
    <pageField fld="2"/>
  </pageFields>
  <dataFields>
    <dataField name="SUM of Jumlah edukasi - isi dengan angka. Cth: 2&#10;&#10;(Target 30 hari: 600 edukasi Gemini)" fld="7" baseField="0"/>
    <dataField name="SUM of Jumlah penjualan Kartu Perdana - isi dengan angka. Cth: 2 &#10;&#10;(Target 30 hari: 100 Kartu Perdana terjual)" fld="9" baseField="0"/>
    <dataField name="SUM of Jumlah penjualan Paket Isi Ulang - isi dengan angka. Cth: 2 &#10;&#10;(Target 30 hari: 200 Paket Isi Ulang terjual)" fld="10" baseField="0"/>
    <dataField name="SUM of Jumlah aktivasi Gemini dari orang yang diedukasi" fld="15" baseField="0"/>
  </dataFields>
</pivotTableDefinition>
</file>

<file path=xl/pivotTables/pivotTable8.xml><?xml version="1.0" encoding="utf-8"?>
<pivotTableDefinition xmlns="http://schemas.openxmlformats.org/spreadsheetml/2006/main" name="Form Response 2 Copy" cacheId="2" dataCaption="" compact="0" compactData="0">
  <location ref="A56:D61" firstHeaderRow="0" firstDataRow="2" firstDataCol="0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Hari &amp; Tanggal" compact="0" numFmtId="14" outline="0" multipleItemSelectionAllowed="1" showAll="0">
      <items>
        <item x="0"/>
        <item x="1"/>
        <item x="2"/>
        <item x="3"/>
        <item t="default"/>
      </items>
    </pivotField>
    <pivotField name="Region" compact="0" outline="0" multipleItemSelectionAllowed="1" showAll="0">
      <items>
        <item x="0"/>
        <item t="default"/>
      </items>
    </pivotField>
    <pivotField name="Area Penempatan" axis="axisRow" compact="0" outline="0" multipleItemSelectionAllowed="1" showAll="0" sortType="ascending">
      <items>
        <item x="2"/>
        <item x="1"/>
        <item x="3"/>
        <item x="0"/>
        <item t="default"/>
      </items>
    </pivotField>
    <pivotField name="Nama Promo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Nama Outl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Upload Foto Kehadiran dengan Time Stamp (untuk Bukti Kehadira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Jumlah edukasi - isi dengan angka. Cth: 2&#10;&#10;(Target 30 hari: 600 edukasi Gemini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Bukti Foto Edukasi" compact="0" outline="0" multipleItemSelectionAllowed="1" showAll="0">
      <items>
        <item x="0"/>
        <item t="default"/>
      </items>
    </pivotField>
    <pivotField name="Jumlah penjualan Kartu Perdana - isi dengan angka. Cth: 2 &#10;&#10;(Target 30 hari: 100 Kartu Perdana terjual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Jumlah penjualan Paket Isi Ulang - isi dengan angka. Cth: 2 &#10;&#10;(Target 30 hari: 200 Paket Isi Ulang terjual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Bukti Foto Penjua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List No. HP yang terj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List No. HP yang melakukan isi ula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Upload Foto Kepulangan dengan Time Stamp (untuk Bukti Kepulanga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Jumlah aktivasi Gemini dari orang yang diedukas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>
    <field x="3"/>
  </rowFields>
  <colFields>
    <field x="-2"/>
  </colFields>
  <dataFields>
    <dataField name="SUM of Jumlah edukasi - isi dengan angka. Cth: 2&#10;&#10;(Target 30 hari: 600 edukasi Gemini)" fld="7" baseField="0"/>
    <dataField name="SUM of Jumlah penjualan Paket Isi Ulang - isi dengan angka. Cth: 2 &#10;&#10;(Target 30 hari: 200 Paket Isi Ulang terjual)" fld="10" baseField="0"/>
    <dataField name="SUM of Jumlah penjualan Kartu Perdana - isi dengan angka. Cth: 2 &#10;&#10;(Target 30 hari: 100 Kartu Perdana terjual)" fld="9" baseField="0"/>
  </dataFields>
</pivotTableDefinition>
</file>

<file path=xl/pivotTables/pivotTable9.xml><?xml version="1.0" encoding="utf-8"?>
<pivotTableDefinition xmlns="http://schemas.openxmlformats.org/spreadsheetml/2006/main" name="Form Response 2 Copy 2" cacheId="2" dataCaption="" compact="0" compactData="0">
  <location ref="A63:E89" firstHeaderRow="0" firstDataRow="3" firstDataCol="0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Hari &amp; Tanggal" compact="0" numFmtId="14" outline="0" multipleItemSelectionAllowed="1" showAll="0">
      <items>
        <item x="0"/>
        <item x="1"/>
        <item x="2"/>
        <item x="3"/>
        <item t="default"/>
      </items>
    </pivotField>
    <pivotField name="Region" axis="axisRow" compact="0" outline="0" multipleItemSelectionAllowed="1" showAll="0" sortType="ascending">
      <items>
        <item x="0"/>
        <item t="default"/>
      </items>
    </pivotField>
    <pivotField name="Area Penempatan" compact="0" outline="0" multipleItemSelectionAllowed="1" showAll="0">
      <items>
        <item x="0"/>
        <item x="1"/>
        <item x="2"/>
        <item x="3"/>
        <item t="default"/>
      </items>
    </pivotField>
    <pivotField name="Nama Promotor" axis="axisRow" compact="0" outline="0" multipleItemSelectionAllowed="1" showAll="0" sortType="ascending">
      <items>
        <item x="19"/>
        <item x="20"/>
        <item x="2"/>
        <item x="16"/>
        <item x="1"/>
        <item x="10"/>
        <item x="6"/>
        <item x="4"/>
        <item x="8"/>
        <item x="14"/>
        <item x="11"/>
        <item x="5"/>
        <item x="21"/>
        <item x="13"/>
        <item x="9"/>
        <item x="0"/>
        <item x="15"/>
        <item x="18"/>
        <item x="12"/>
        <item x="23"/>
        <item x="3"/>
        <item x="17"/>
        <item x="7"/>
        <item x="22"/>
        <item t="default"/>
      </items>
    </pivotField>
    <pivotField name="Nama Outl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Upload Foto Kehadiran dengan Time Stamp (untuk Bukti Kehadira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Jumlah edukasi - isi dengan angka. Cth: 2&#10;&#10;(Target 30 hari: 600 edukasi Gemini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Bukti Foto Edukasi" compact="0" outline="0" multipleItemSelectionAllowed="1" showAll="0">
      <items>
        <item x="0"/>
        <item t="default"/>
      </items>
    </pivotField>
    <pivotField name="Jumlah penjualan Kartu Perdana - isi dengan angka. Cth: 2 &#10;&#10;(Target 30 hari: 100 Kartu Perdana terjual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Jumlah penjualan Paket Isi Ulang - isi dengan angka. Cth: 2 &#10;&#10;(Target 30 hari: 200 Paket Isi Ulang terjual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Bukti Foto Penjua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List No. HP yang terj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List No. HP yang melakukan isi ula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Upload Foto Kepulangan dengan Time Stamp (untuk Bukti Kepulanga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Jumlah aktivasi Gemini dari orang yang diedukas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>
    <field x="2"/>
    <field x="4"/>
  </rowFields>
  <colFields>
    <field x="-2"/>
  </colFields>
  <dataFields>
    <dataField name="SUM of Jumlah edukasi - isi dengan angka. Cth: 2&#10;&#10;(Target 30 hari: 600 edukasi Gemini)" fld="7" baseField="0"/>
    <dataField name="COUNTA of Jumlah penjualan Kartu Perdana - isi dengan angka. Cth: 2 &#10;&#10;(Target 30 hari: 100 Kartu Perdana terjual)" fld="9" subtotal="count" baseField="0"/>
    <dataField name="SUM of Jumlah penjualan Paket Isi Ulang - isi dengan angka. Cth: 2 &#10;&#10;(Target 30 hari: 200 Paket Isi Ulang terjual)" fld="10" baseField="0"/>
  </dataFields>
</pivotTableDefinition>
</file>

<file path=xl/tables/table1.xml><?xml version="1.0" encoding="utf-8"?>
<table xmlns="http://schemas.openxmlformats.org/spreadsheetml/2006/main" ref="A1:T373" displayName="Form_Responses" name="Form_Responses" id="1">
  <tableColumns count="20">
    <tableColumn name="Timestamp" id="1"/>
    <tableColumn name="Hari &amp; Tanggal" id="2"/>
    <tableColumn name="Region" id="3"/>
    <tableColumn name="Area Penempatan" id="4"/>
    <tableColumn name="Nama Promotor" id="5"/>
    <tableColumn name="Nama Outlet" id="6"/>
    <tableColumn name="Upload Foto Kehadiran dengan Time Stamp (untuk Bukti Kehadiran)" id="7"/>
    <tableColumn name="Jumlah edukasi - isi dengan angka. Cth: 2_x000a__x000a_(Target 30 hari: 600 edukasi Gemini)" id="8"/>
    <tableColumn name="Bukti Foto Edukasi" id="9"/>
    <tableColumn name="Jumlah penjualan Kartu Perdana - isi dengan angka. Cth: 2 _x000a__x000a_(Target 30 hari: 100 Kartu Perdana terjual)" id="10"/>
    <tableColumn name="Jumlah penjualan Paket Isi Ulang - isi dengan angka. Cth: 2 _x000a__x000a_(Target 30 hari: 200 Paket Isi Ulang terjual)" id="11"/>
    <tableColumn name="Bukti Foto Penjualan" id="12"/>
    <tableColumn name="List No. HP yang terjual" id="13"/>
    <tableColumn name="List No. HP yang melakukan isi ulang" id="14"/>
    <tableColumn name="Upload Foto Kepulangan dengan Time Stamp (untuk Bukti Kepulangan)" id="15"/>
    <tableColumn name="Jumlah aktivasi Gemini dari orang yang diedukasi" id="16"/>
    <tableColumn name="Hari &amp; Tanggal 2" id="17"/>
    <tableColumn name="Brand" id="18"/>
    <tableColumn name="Column 1" id="19"/>
    <tableColumn name="Column 20" id="20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totalsRowCount="1" headerRowCount="0" ref="C32:H37" displayName="Table_1" name="Table_1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!All Circle -style" showColumnStripes="0" showFirstColumn="1" showLastColumn="1" showRowStripes="1"/>
</table>
</file>

<file path=xl/tables/table3.xml><?xml version="1.0" encoding="utf-8"?>
<table xmlns="http://schemas.openxmlformats.org/spreadsheetml/2006/main" ref="A1:S5" displayName="Table_2" name="Table_2" id="3">
  <tableColumns count="19">
    <tableColumn name="Timestamp" id="1"/>
    <tableColumn name="Hari &amp; Tanggal" id="2"/>
    <tableColumn name="Region" id="3"/>
    <tableColumn name="Area Penempatan" id="4"/>
    <tableColumn name="Nama Promotor" id="5"/>
    <tableColumn name="Nama Outlet" id="6"/>
    <tableColumn name="Upload Foto Kehadiran dengan Time Stamp (untuk Bukti Kehadiran)" id="7"/>
    <tableColumn name="Jumlah edukasi - isi dengan angka. Cth: 2_x000a__x000a_(Target 30 hari: 600 edukasi Gemini)" id="8"/>
    <tableColumn name="Bukti Foto Edukasi" id="9"/>
    <tableColumn name="Jumlah penjualan Kartu Perdana - isi dengan angka. Cth: 2 _x000a__x000a_(Target 30 hari: 100 Kartu Perdana terjual)" id="10"/>
    <tableColumn name="Jumlah penjualan Paket Isi Ulang - isi dengan angka. Cth: 2 _x000a__x000a_(Target 30 hari: 200 Paket Isi Ulang terjual)" id="11"/>
    <tableColumn name="Bukti Foto Penjualan" id="12"/>
    <tableColumn name="List No. HP yang terjual" id="13"/>
    <tableColumn name="List No. HP yang melakukan isi ulang" id="14"/>
    <tableColumn name="Upload Foto Kepulangan dengan Time Stamp (untuk Bukti Kepulangan)" id="15"/>
    <tableColumn name="Jumlah aktivasi Gemini dari orang yang diedukasi" id="16"/>
    <tableColumn name="Hari &amp; Tanggal 2" id="17"/>
    <tableColumn name="Brand" id="18"/>
    <tableColumn name="Column 1" id="19"/>
  </tableColumns>
  <tableStyleInfo name="Detail1-Denpasar-Ryan shobwatur-style" showColumnStripes="0" showFirstColumn="1" showLastColumn="1" showRowStripes="1"/>
</table>
</file>

<file path=xl/tables/table4.xml><?xml version="1.0" encoding="utf-8"?>
<table xmlns="http://schemas.openxmlformats.org/spreadsheetml/2006/main" headerRowCount="0" ref="A11:J11" displayName="Table_3" name="Table_3" id="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ummary CJ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R13:S42" displayName="Table_4" name="Table_4" id="5">
  <tableColumns count="2">
    <tableColumn name="Column1" id="1"/>
    <tableColumn name="Column2" id="2"/>
  </tableColumns>
  <tableStyleInfo name="Summary CJ-style 2" showColumnStripes="0" showFirstColumn="1" showLastColumn="1" showRowStripes="1"/>
</table>
</file>

<file path=xl/tables/table6.xml><?xml version="1.0" encoding="utf-8"?>
<table xmlns="http://schemas.openxmlformats.org/spreadsheetml/2006/main" headerRowCount="0" ref="F17:F19" displayName="Table_5" name="Table_5" id="6">
  <tableColumns count="1">
    <tableColumn name="Column1" id="1"/>
  </tableColumns>
  <tableStyleInfo name="Summary CJ-style 3" showColumnStripes="0" showFirstColumn="1" showLastColumn="1" showRowStripes="1"/>
</table>
</file>

<file path=xl/tables/table7.xml><?xml version="1.0" encoding="utf-8"?>
<table xmlns="http://schemas.openxmlformats.org/spreadsheetml/2006/main" headerRowCount="0" ref="H17:H19" displayName="Table_6" name="Table_6" id="7">
  <tableColumns count="1">
    <tableColumn name="Column1" id="1"/>
  </tableColumns>
  <tableStyleInfo name="Summary CJ-style 4" showColumnStripes="0" showFirstColumn="1" showLastColumn="1" showRowStripes="1"/>
</table>
</file>

<file path=xl/tables/table8.xml><?xml version="1.0" encoding="utf-8"?>
<table xmlns="http://schemas.openxmlformats.org/spreadsheetml/2006/main" headerRowCount="0" ref="F42" displayName="Table_7" name="Table_7" id="8">
  <tableColumns count="1">
    <tableColumn name="Column1" id="1"/>
  </tableColumns>
  <tableStyleInfo name="Summary CJ-style 5" showColumnStripes="0" showFirstColumn="1" showLastColumn="1" showRowStripes="1"/>
</table>
</file>

<file path=xl/tables/table9.xml><?xml version="1.0" encoding="utf-8"?>
<table xmlns="http://schemas.openxmlformats.org/spreadsheetml/2006/main" headerRowCount="0" ref="H42" displayName="Table_8" name="Table_8" id="9">
  <tableColumns count="1">
    <tableColumn name="Column1" id="1"/>
  </tableColumns>
  <tableStyleInfo name="Summary CJ-style 6" showColumnStripes="0" showFirstColumn="1" showLastColumn="1" showRowStripes="1"/>
</table>
</file>

<file path=xl/tables/table10.xml><?xml version="1.0" encoding="utf-8"?>
<table xmlns="http://schemas.openxmlformats.org/spreadsheetml/2006/main" headerRowCount="0" ref="A44:L93" displayName="Table_9" name="Table_9" id="1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Summary CJ-style 7" showColumnStripes="0" showFirstColumn="1" showLastColumn="1" showRowStripes="1"/>
</table>
</file>

<file path=xl/tables/table11.xml><?xml version="1.0" encoding="utf-8"?>
<table xmlns="http://schemas.openxmlformats.org/spreadsheetml/2006/main" headerRowCount="0" ref="N75:N80" displayName="Table_10" name="Table_10" id="11">
  <tableColumns count="1">
    <tableColumn name="Column1" id="1"/>
  </tableColumns>
  <tableStyleInfo name="Summary CJ-style 8" showColumnStripes="0" showFirstColumn="1" showLastColumn="1" showRowStripes="1"/>
</table>
</file>

<file path=xl/tables/table12.xml><?xml version="1.0" encoding="utf-8"?>
<table xmlns="http://schemas.openxmlformats.org/spreadsheetml/2006/main" headerRowCount="0" ref="C22:C27" displayName="Table_11" name="Table_11" id="12">
  <tableColumns count="1">
    <tableColumn name="Column1" id="1"/>
  </tableColumns>
  <tableStyleInfo name="Summary EJ-style" showColumnStripes="0" showFirstColumn="1" showLastColumn="1" showRowStripes="1"/>
</table>
</file>

<file path=xl/tables/table13.xml><?xml version="1.0" encoding="utf-8"?>
<table xmlns="http://schemas.openxmlformats.org/spreadsheetml/2006/main" totalsRowCount="1" headerRowCount="0" ref="C2:I7" displayName="Table_12" name="Table_12" id="13">
  <tableColumns count="7">
    <tableColumn totalsRowLabel="Promotor" name="Column1" id="1"/>
    <tableColumn name="Column2" id="2"/>
    <tableColumn totalsRowFunction="custom" name="Column3" id="3"/>
    <tableColumn totalsRowFunction="custom" name="Column4" id="4"/>
    <tableColumn totalsRowFunction="custom" name="Column5" id="5"/>
    <tableColumn totalsRowFunction="custom" name="Column6" id="6"/>
    <tableColumn name="Column7" id="7"/>
  </tableColumns>
  <tableStyleInfo name="Summary B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HzozJ3NRQMLhPoDb1C-jHlV7RXPN52Zv" TargetMode="External"/><Relationship Id="rId194" Type="http://schemas.openxmlformats.org/officeDocument/2006/relationships/hyperlink" Target="https://drive.google.com/open?id=1ShXcCvFkOAsaP_zPLEjTSK_B1y1FBDqH" TargetMode="External"/><Relationship Id="rId193" Type="http://schemas.openxmlformats.org/officeDocument/2006/relationships/hyperlink" Target="https://drive.google.com/open?id=1RyIrgLKTSH3LsSVqrFX72WDeuyNGSC4i" TargetMode="External"/><Relationship Id="rId192" Type="http://schemas.openxmlformats.org/officeDocument/2006/relationships/hyperlink" Target="https://drive.google.com/open?id=1lpIEL5KQJn-6cSgO-c_R5b2BkU1aWyfF" TargetMode="External"/><Relationship Id="rId191" Type="http://schemas.openxmlformats.org/officeDocument/2006/relationships/hyperlink" Target="https://drive.google.com/open?id=1mowx6nOyVIRxhyQBlTX7IQEIbykLDDPo" TargetMode="External"/><Relationship Id="rId187" Type="http://schemas.openxmlformats.org/officeDocument/2006/relationships/hyperlink" Target="https://drive.google.com/open?id=1IVuT5YVkyJ7EZ9VCO59vJZcapKvpoRIC" TargetMode="External"/><Relationship Id="rId186" Type="http://schemas.openxmlformats.org/officeDocument/2006/relationships/hyperlink" Target="https://drive.google.com/open?id=1ZtkyDxA9YB0wFQyVO_AW2rjrnU9YYOo4" TargetMode="External"/><Relationship Id="rId185" Type="http://schemas.openxmlformats.org/officeDocument/2006/relationships/hyperlink" Target="https://drive.google.com/open?id=1TZPhR1FU4Op4Y_RD1AwWYWGDWxjPU2Lu" TargetMode="External"/><Relationship Id="rId184" Type="http://schemas.openxmlformats.org/officeDocument/2006/relationships/hyperlink" Target="https://drive.google.com/open?id=1dzndpsuhbtp5tSLsUB9byuOPAiGkjwIB" TargetMode="External"/><Relationship Id="rId189" Type="http://schemas.openxmlformats.org/officeDocument/2006/relationships/hyperlink" Target="https://drive.google.com/open?id=1qSUXtCNARYgM4WyaC8RAAKnj4tTjY45n" TargetMode="External"/><Relationship Id="rId188" Type="http://schemas.openxmlformats.org/officeDocument/2006/relationships/hyperlink" Target="https://drive.google.com/open?id=1ri2b910qi3AGtnnw4mUyTAh1ZVNtyGzq" TargetMode="External"/><Relationship Id="rId183" Type="http://schemas.openxmlformats.org/officeDocument/2006/relationships/hyperlink" Target="https://drive.google.com/open?id=1pMSF0X4WST5emaW25PnS9qX9asJgYHDz" TargetMode="External"/><Relationship Id="rId182" Type="http://schemas.openxmlformats.org/officeDocument/2006/relationships/hyperlink" Target="https://drive.google.com/open?id=1SMA6xhZc6lFqv0ivnzVbSgrGT_bni8Jj" TargetMode="External"/><Relationship Id="rId181" Type="http://schemas.openxmlformats.org/officeDocument/2006/relationships/hyperlink" Target="https://drive.google.com/open?id=1c_iltrkOaEklexQdlFLK157jY4UOYH3k" TargetMode="External"/><Relationship Id="rId180" Type="http://schemas.openxmlformats.org/officeDocument/2006/relationships/hyperlink" Target="https://drive.google.com/open?id=1cuCbVVWOugphrES-FMjck7jg0CytObuW" TargetMode="External"/><Relationship Id="rId176" Type="http://schemas.openxmlformats.org/officeDocument/2006/relationships/hyperlink" Target="https://drive.google.com/open?id=1MN5BZTEZ4quVNQU_AcxQvAV7DHgCs5j9" TargetMode="External"/><Relationship Id="rId175" Type="http://schemas.openxmlformats.org/officeDocument/2006/relationships/hyperlink" Target="https://drive.google.com/open?id=16PuCm7Q0aRkNGOetnf-raBRLjtjp3w5t" TargetMode="External"/><Relationship Id="rId174" Type="http://schemas.openxmlformats.org/officeDocument/2006/relationships/hyperlink" Target="https://drive.google.com/open?id=1cD9zV9wqFDWPEaqwd2kmo9XjKu4uEQ88" TargetMode="External"/><Relationship Id="rId173" Type="http://schemas.openxmlformats.org/officeDocument/2006/relationships/hyperlink" Target="https://drive.google.com/open?id=1ojvsgi8v8FL6zucM-t7IHDorSrkyM3eQ" TargetMode="External"/><Relationship Id="rId179" Type="http://schemas.openxmlformats.org/officeDocument/2006/relationships/hyperlink" Target="https://drive.google.com/open?id=1TQDD7nPRJKxy9mz8QI5NnmSWxVqMd4Qa" TargetMode="External"/><Relationship Id="rId178" Type="http://schemas.openxmlformats.org/officeDocument/2006/relationships/hyperlink" Target="https://drive.google.com/open?id=1Iyn08Kr3yIY_lLcYqgF8jrYUDZyTC5ef" TargetMode="External"/><Relationship Id="rId177" Type="http://schemas.openxmlformats.org/officeDocument/2006/relationships/hyperlink" Target="https://drive.google.com/open?id=1M7lTLmVqErvUfpixp2tuiJsNndpoqqzY" TargetMode="External"/><Relationship Id="rId198" Type="http://schemas.openxmlformats.org/officeDocument/2006/relationships/hyperlink" Target="https://drive.google.com/open?id=1ckV_I_bRynVWOWFV37jCEgr8amAzilhf" TargetMode="External"/><Relationship Id="rId197" Type="http://schemas.openxmlformats.org/officeDocument/2006/relationships/hyperlink" Target="https://drive.google.com/open?id=1Om_2kjoU-3xE5RPGz3_n88UkOleGuIMx" TargetMode="External"/><Relationship Id="rId196" Type="http://schemas.openxmlformats.org/officeDocument/2006/relationships/hyperlink" Target="https://drive.google.com/open?id=12xbIFlZG5MSkefK3QY2lnZd-3xnEUmJv" TargetMode="External"/><Relationship Id="rId195" Type="http://schemas.openxmlformats.org/officeDocument/2006/relationships/hyperlink" Target="https://drive.google.com/open?id=1JtslwcqIab8WBg3fSu0RqopGxwow6tjd" TargetMode="External"/><Relationship Id="rId199" Type="http://schemas.openxmlformats.org/officeDocument/2006/relationships/hyperlink" Target="https://drive.google.com/open?id=1JNVOmLBXpSj_O98Z2kXY123bQ90C1KKh" TargetMode="External"/><Relationship Id="rId150" Type="http://schemas.openxmlformats.org/officeDocument/2006/relationships/hyperlink" Target="https://drive.google.com/open?id=1FbVixRolCBNcSx_EpRVbZqQKt7rpGJQn" TargetMode="External"/><Relationship Id="rId392" Type="http://schemas.openxmlformats.org/officeDocument/2006/relationships/hyperlink" Target="https://drive.google.com/open?id=1H4od1g1GlsJJ-DEx6vQ5DZg7JJZ00weZ" TargetMode="External"/><Relationship Id="rId391" Type="http://schemas.openxmlformats.org/officeDocument/2006/relationships/hyperlink" Target="https://drive.google.com/open?id=10xwDg880Mt-saIF-4KLuy3FwQQufIe4-" TargetMode="External"/><Relationship Id="rId390" Type="http://schemas.openxmlformats.org/officeDocument/2006/relationships/hyperlink" Target="https://drive.google.com/open?id=1RxTJcH_Bc7CD6czVbMh0RtPZcLPHK8fa" TargetMode="External"/><Relationship Id="rId1" Type="http://schemas.openxmlformats.org/officeDocument/2006/relationships/hyperlink" Target="https://drive.google.com/open?id=1ccOL6O0qsZ-h7GEBmipzs5VF9_fU9UdS" TargetMode="External"/><Relationship Id="rId2" Type="http://schemas.openxmlformats.org/officeDocument/2006/relationships/hyperlink" Target="https://drive.google.com/open?id=1z4SVoYWE52ZAQ2h8WINT3YU4c1HJwC1W" TargetMode="External"/><Relationship Id="rId3" Type="http://schemas.openxmlformats.org/officeDocument/2006/relationships/hyperlink" Target="https://drive.google.com/open?id=1eNqXWrNDv_TnHPJ4gi2yqCPCrKy3kLYH" TargetMode="External"/><Relationship Id="rId149" Type="http://schemas.openxmlformats.org/officeDocument/2006/relationships/hyperlink" Target="https://drive.google.com/open?id=11gOW7EMseXBeG6aSX1mgZ4trCF0vC2S-" TargetMode="External"/><Relationship Id="rId4" Type="http://schemas.openxmlformats.org/officeDocument/2006/relationships/hyperlink" Target="https://drive.google.com/open?id=1pP1PFCL5MvYSTvJesoC3RTaMulxyzc1Y" TargetMode="External"/><Relationship Id="rId148" Type="http://schemas.openxmlformats.org/officeDocument/2006/relationships/hyperlink" Target="https://drive.google.com/open?id=19v6FdaAKls-BNwShi0QUqFq9jcDyfxth" TargetMode="External"/><Relationship Id="rId9" Type="http://schemas.openxmlformats.org/officeDocument/2006/relationships/hyperlink" Target="https://drive.google.com/open?id=1XMWLLwp8sYDmiZfqc4ml80Iy5XFmhoHG" TargetMode="External"/><Relationship Id="rId143" Type="http://schemas.openxmlformats.org/officeDocument/2006/relationships/hyperlink" Target="https://drive.google.com/open?id=1Dufv0XW0yxNORRjkcfUuukZqCpYA1KOo" TargetMode="External"/><Relationship Id="rId385" Type="http://schemas.openxmlformats.org/officeDocument/2006/relationships/hyperlink" Target="https://drive.google.com/open?id=1J4IXSpSspFhvwCMcT1B2YKeDRCNw_CjD" TargetMode="External"/><Relationship Id="rId142" Type="http://schemas.openxmlformats.org/officeDocument/2006/relationships/hyperlink" Target="https://drive.google.com/open?id=1Z4RqPVy-nb4SNy1uqprmT_WWnuisOdU1" TargetMode="External"/><Relationship Id="rId384" Type="http://schemas.openxmlformats.org/officeDocument/2006/relationships/hyperlink" Target="https://drive.google.com/open?id=1yznyY8L_XC3r2pVJSMshMEaZKMjrqqJd" TargetMode="External"/><Relationship Id="rId141" Type="http://schemas.openxmlformats.org/officeDocument/2006/relationships/hyperlink" Target="https://drive.google.com/open?id=1leSLW_SOKpWhSFQsWf2Gu3K0X404BwQQ" TargetMode="External"/><Relationship Id="rId383" Type="http://schemas.openxmlformats.org/officeDocument/2006/relationships/hyperlink" Target="https://drive.google.com/open?id=12fIWKEoel87dmu35og3vB-f0q5eVhxBz" TargetMode="External"/><Relationship Id="rId140" Type="http://schemas.openxmlformats.org/officeDocument/2006/relationships/hyperlink" Target="https://drive.google.com/open?id=1AqHQL2ECVhBNwO5BMy7DZ-I0Fgb3O2BE" TargetMode="External"/><Relationship Id="rId382" Type="http://schemas.openxmlformats.org/officeDocument/2006/relationships/hyperlink" Target="https://drive.google.com/open?id=1y9dMzBbC6sB7xfOAkkcyZVClWC4LDWbB" TargetMode="External"/><Relationship Id="rId5" Type="http://schemas.openxmlformats.org/officeDocument/2006/relationships/hyperlink" Target="https://drive.google.com/open?id=1Zf154JzyIsnKcCjoaiMDj6smMORMmE10" TargetMode="External"/><Relationship Id="rId147" Type="http://schemas.openxmlformats.org/officeDocument/2006/relationships/hyperlink" Target="https://drive.google.com/open?id=1hcVTrO7xvWulYjTjUhMqnzwccWmS7MZJ" TargetMode="External"/><Relationship Id="rId389" Type="http://schemas.openxmlformats.org/officeDocument/2006/relationships/hyperlink" Target="https://drive.google.com/open?id=1tF7ij7t2z_ZTXKbMUfI43N30LxJOXXUx" TargetMode="External"/><Relationship Id="rId6" Type="http://schemas.openxmlformats.org/officeDocument/2006/relationships/hyperlink" Target="https://drive.google.com/open?id=1d6-B-E9J0gX_4S5aKXSfyt9Wo1iPv_I8" TargetMode="External"/><Relationship Id="rId146" Type="http://schemas.openxmlformats.org/officeDocument/2006/relationships/hyperlink" Target="https://drive.google.com/open?id=1L1toLE6XXcf_-EAvBV8YNmDegkktvXu0" TargetMode="External"/><Relationship Id="rId388" Type="http://schemas.openxmlformats.org/officeDocument/2006/relationships/hyperlink" Target="https://drive.google.com/open?id=1kz7cz9A0deUYpdzZrgvkgiuiJpTtGYPl" TargetMode="External"/><Relationship Id="rId7" Type="http://schemas.openxmlformats.org/officeDocument/2006/relationships/hyperlink" Target="https://drive.google.com/open?id=1kmvtKpGqoZS-l2lGYqb5Kt_uG3Vhv2WQ" TargetMode="External"/><Relationship Id="rId145" Type="http://schemas.openxmlformats.org/officeDocument/2006/relationships/hyperlink" Target="https://drive.google.com/open?id=1iHYCXbEtYY2QodH-x8YvsWho6n9q8wmC" TargetMode="External"/><Relationship Id="rId387" Type="http://schemas.openxmlformats.org/officeDocument/2006/relationships/hyperlink" Target="https://drive.google.com/open?id=1g-1ulI3eSrZVAlOBCC1yU0AHoHADtEzd" TargetMode="External"/><Relationship Id="rId8" Type="http://schemas.openxmlformats.org/officeDocument/2006/relationships/hyperlink" Target="https://drive.google.com/open?id=1_tD0mxEcrlbuLrIMTVYoJc_zWA4SI3Dp" TargetMode="External"/><Relationship Id="rId144" Type="http://schemas.openxmlformats.org/officeDocument/2006/relationships/hyperlink" Target="https://drive.google.com/open?id=1AtwdQjm25aHxyRgkxye_irZkHEKflYQm" TargetMode="External"/><Relationship Id="rId386" Type="http://schemas.openxmlformats.org/officeDocument/2006/relationships/hyperlink" Target="https://drive.google.com/open?id=1b2Ydf2R7x-8PMzsHXiSLxtxXKI8VK6hU" TargetMode="External"/><Relationship Id="rId381" Type="http://schemas.openxmlformats.org/officeDocument/2006/relationships/hyperlink" Target="https://drive.google.com/open?id=1HLkPR2GYp5jEf6uTDp8Fkh4gHjKMaWT4" TargetMode="External"/><Relationship Id="rId380" Type="http://schemas.openxmlformats.org/officeDocument/2006/relationships/hyperlink" Target="https://drive.google.com/open?id=1SbnPNPziakaSq0xGgjbiL7FSScEIDeGV" TargetMode="External"/><Relationship Id="rId139" Type="http://schemas.openxmlformats.org/officeDocument/2006/relationships/hyperlink" Target="https://drive.google.com/open?id=1uDz2FE_7TnRQKrU9HIaQb9EkPKdbp94-" TargetMode="External"/><Relationship Id="rId138" Type="http://schemas.openxmlformats.org/officeDocument/2006/relationships/hyperlink" Target="https://drive.google.com/open?id=1NHwLXN7GbMNrUJJVy9-91HXCXJ1pbbpz" TargetMode="External"/><Relationship Id="rId137" Type="http://schemas.openxmlformats.org/officeDocument/2006/relationships/hyperlink" Target="https://drive.google.com/open?id=1AXUU8azrcGtNB4kmU4p6ZkfsYtXlIGEo" TargetMode="External"/><Relationship Id="rId379" Type="http://schemas.openxmlformats.org/officeDocument/2006/relationships/hyperlink" Target="https://drive.google.com/open?id=1jRXVacmhTJmnk6sL25gyT7uKTQr5lFkn" TargetMode="External"/><Relationship Id="rId132" Type="http://schemas.openxmlformats.org/officeDocument/2006/relationships/hyperlink" Target="https://drive.google.com/open?id=14xZAV3mC1Cf3HFIsVPmW2jMGb05A8ANk" TargetMode="External"/><Relationship Id="rId374" Type="http://schemas.openxmlformats.org/officeDocument/2006/relationships/hyperlink" Target="https://drive.google.com/open?id=19McwleiiPtHKEmF_u1Rp-sCdskRiS_Tt" TargetMode="External"/><Relationship Id="rId131" Type="http://schemas.openxmlformats.org/officeDocument/2006/relationships/hyperlink" Target="https://drive.google.com/open?id=1CNxbLC8dPhzAHJj6-ge6r-em_SBurATo" TargetMode="External"/><Relationship Id="rId373" Type="http://schemas.openxmlformats.org/officeDocument/2006/relationships/hyperlink" Target="https://drive.google.com/open?id=1lqcGEwOf2AaZzeWLkY0Laod0WtOKTWUL" TargetMode="External"/><Relationship Id="rId130" Type="http://schemas.openxmlformats.org/officeDocument/2006/relationships/hyperlink" Target="https://drive.google.com/open?id=1bDj5jzIXIUGBhdO4dxbm9EzKahyN_GQa" TargetMode="External"/><Relationship Id="rId372" Type="http://schemas.openxmlformats.org/officeDocument/2006/relationships/hyperlink" Target="https://drive.google.com/open?id=1rby0zQi2AsrE1FaiNjWMqcTS4hd3KgOZ" TargetMode="External"/><Relationship Id="rId371" Type="http://schemas.openxmlformats.org/officeDocument/2006/relationships/hyperlink" Target="https://drive.google.com/open?id=1-yQRxNEIkts4CN4P2oVTj_AFPmTjehjP" TargetMode="External"/><Relationship Id="rId136" Type="http://schemas.openxmlformats.org/officeDocument/2006/relationships/hyperlink" Target="https://drive.google.com/open?id=1BY7zDDRzZaFKa8p833q1KSXZuJ6M2gQr" TargetMode="External"/><Relationship Id="rId378" Type="http://schemas.openxmlformats.org/officeDocument/2006/relationships/hyperlink" Target="https://drive.google.com/open?id=1QzxDtEjxXaSompp91QEVg08XGVYH79IJ" TargetMode="External"/><Relationship Id="rId135" Type="http://schemas.openxmlformats.org/officeDocument/2006/relationships/hyperlink" Target="https://drive.google.com/open?id=1DlcAe8wcNXql6PnoUnWSUVAcPOpy8mOY" TargetMode="External"/><Relationship Id="rId377" Type="http://schemas.openxmlformats.org/officeDocument/2006/relationships/hyperlink" Target="https://drive.google.com/open?id=1T-mJOUCktA_9FQAeN5OpDBxz7oFpgqUo" TargetMode="External"/><Relationship Id="rId134" Type="http://schemas.openxmlformats.org/officeDocument/2006/relationships/hyperlink" Target="https://drive.google.com/open?id=1t4ZVYfMc4DKwQmJjRf_qICrxMn1YpxXV" TargetMode="External"/><Relationship Id="rId376" Type="http://schemas.openxmlformats.org/officeDocument/2006/relationships/hyperlink" Target="https://drive.google.com/open?id=1ThX6NakAj4HUCQEoXloyZGIIDhEE53Y8" TargetMode="External"/><Relationship Id="rId133" Type="http://schemas.openxmlformats.org/officeDocument/2006/relationships/hyperlink" Target="https://drive.google.com/open?id=155Sp3-jfOpjaLkxXVgwGUq7eUILndwRg" TargetMode="External"/><Relationship Id="rId375" Type="http://schemas.openxmlformats.org/officeDocument/2006/relationships/hyperlink" Target="https://drive.google.com/open?id=1_axh8RdMSCe4MHIKmawedmfAEDmVT10I" TargetMode="External"/><Relationship Id="rId172" Type="http://schemas.openxmlformats.org/officeDocument/2006/relationships/hyperlink" Target="https://drive.google.com/open?id=1mEoVkjUpUGm7AXRtQjlbhm0vp4uzpwPS" TargetMode="External"/><Relationship Id="rId171" Type="http://schemas.openxmlformats.org/officeDocument/2006/relationships/hyperlink" Target="https://drive.google.com/open?id=1Lz0ZEajq5LPWE7tMfeJzCBk7xs9kkW03" TargetMode="External"/><Relationship Id="rId170" Type="http://schemas.openxmlformats.org/officeDocument/2006/relationships/hyperlink" Target="https://drive.google.com/open?id=1ddagwiMiQZmJXV2CrUCTLwSSYihE-Or6" TargetMode="External"/><Relationship Id="rId165" Type="http://schemas.openxmlformats.org/officeDocument/2006/relationships/hyperlink" Target="https://drive.google.com/open?id=1GZS5x_cuhloaej9bqkKcRlgOWCkwPdYv" TargetMode="External"/><Relationship Id="rId164" Type="http://schemas.openxmlformats.org/officeDocument/2006/relationships/hyperlink" Target="https://drive.google.com/open?id=1vrqLsvaPWuS8yid3vTue-x8Uo2bstMqG" TargetMode="External"/><Relationship Id="rId163" Type="http://schemas.openxmlformats.org/officeDocument/2006/relationships/hyperlink" Target="https://drive.google.com/open?id=1a7UO6DVFNJBezFaUMoste2uFgWf8u6u6" TargetMode="External"/><Relationship Id="rId162" Type="http://schemas.openxmlformats.org/officeDocument/2006/relationships/hyperlink" Target="https://drive.google.com/open?id=1ajig0nKWirL5XQUSVKS3c9IovaUvtfxR" TargetMode="External"/><Relationship Id="rId169" Type="http://schemas.openxmlformats.org/officeDocument/2006/relationships/hyperlink" Target="https://drive.google.com/open?id=182I2F8Kke8OJ2I543LQvMpEU8aFKrMLU" TargetMode="External"/><Relationship Id="rId168" Type="http://schemas.openxmlformats.org/officeDocument/2006/relationships/hyperlink" Target="https://drive.google.com/open?id=1QlfYDJfFEPfvisefEqRaT6m7J68ERb8l" TargetMode="External"/><Relationship Id="rId167" Type="http://schemas.openxmlformats.org/officeDocument/2006/relationships/hyperlink" Target="https://drive.google.com/open?id=1TqpMuS30QE7YmhFnMrO5ChmFzwhQ7Pso" TargetMode="External"/><Relationship Id="rId166" Type="http://schemas.openxmlformats.org/officeDocument/2006/relationships/hyperlink" Target="https://drive.google.com/open?id=15QLcCsWitpajjCNXGu2N9G0CKBu-PA70" TargetMode="External"/><Relationship Id="rId161" Type="http://schemas.openxmlformats.org/officeDocument/2006/relationships/hyperlink" Target="https://drive.google.com/open?id=1MxHvdcsGFVJLPYAzgmw9BBSW5d-WF30i" TargetMode="External"/><Relationship Id="rId160" Type="http://schemas.openxmlformats.org/officeDocument/2006/relationships/hyperlink" Target="https://drive.google.com/open?id=1YEa1E6PqX7Jyc_6YFzRpgc4r7jqOIeug" TargetMode="External"/><Relationship Id="rId159" Type="http://schemas.openxmlformats.org/officeDocument/2006/relationships/hyperlink" Target="https://drive.google.com/open?id=1EImRpIWy9rKuDwDGa8ekB_I3kSZ54inQ" TargetMode="External"/><Relationship Id="rId154" Type="http://schemas.openxmlformats.org/officeDocument/2006/relationships/hyperlink" Target="https://drive.google.com/open?id=144pM4GkTs9NQqNH2357YsL2wqRy1FqBF" TargetMode="External"/><Relationship Id="rId396" Type="http://schemas.openxmlformats.org/officeDocument/2006/relationships/hyperlink" Target="https://drive.google.com/open?id=1hDxp0ul9c3PybLChqBfcKex4Zfr9D1CL" TargetMode="External"/><Relationship Id="rId153" Type="http://schemas.openxmlformats.org/officeDocument/2006/relationships/hyperlink" Target="https://drive.google.com/open?id=1auIopl0M8vvF88YpMQ_FEElDNhDpZbiZ" TargetMode="External"/><Relationship Id="rId395" Type="http://schemas.openxmlformats.org/officeDocument/2006/relationships/hyperlink" Target="https://drive.google.com/open?id=1vfGwj5gZYDgpF13WT1G9h4k4ysf1uv24" TargetMode="External"/><Relationship Id="rId152" Type="http://schemas.openxmlformats.org/officeDocument/2006/relationships/hyperlink" Target="https://drive.google.com/open?id=13V8lmGMyjiF-ybG33GSIFhoXQ3Ejh-CI" TargetMode="External"/><Relationship Id="rId394" Type="http://schemas.openxmlformats.org/officeDocument/2006/relationships/hyperlink" Target="https://drive.google.com/open?id=1Xf6XYsFvmtF1sL4eJcyTEZvzX02dVNZx" TargetMode="External"/><Relationship Id="rId151" Type="http://schemas.openxmlformats.org/officeDocument/2006/relationships/hyperlink" Target="https://drive.google.com/open?id=12Gpw3mfQcbeNVCWD2qEwpaMIayqCBBIF" TargetMode="External"/><Relationship Id="rId393" Type="http://schemas.openxmlformats.org/officeDocument/2006/relationships/hyperlink" Target="https://drive.google.com/open?id=1-DJ-ZaTVXQkhr5gtLADrpXNz7v0CGORS" TargetMode="External"/><Relationship Id="rId158" Type="http://schemas.openxmlformats.org/officeDocument/2006/relationships/hyperlink" Target="https://drive.google.com/open?id=1D5VDyvtttScJlIcDiCnF0kyIJrWvufCi" TargetMode="External"/><Relationship Id="rId157" Type="http://schemas.openxmlformats.org/officeDocument/2006/relationships/hyperlink" Target="https://drive.google.com/open?id=1O_z7R3X1EctY6i73dZAHQ7ICDlSdmn7J" TargetMode="External"/><Relationship Id="rId399" Type="http://schemas.openxmlformats.org/officeDocument/2006/relationships/hyperlink" Target="https://drive.google.com/open?id=1ONifGI4VD0UYp60BusXzfW55_MFlYyEQ" TargetMode="External"/><Relationship Id="rId156" Type="http://schemas.openxmlformats.org/officeDocument/2006/relationships/hyperlink" Target="https://drive.google.com/open?id=1iAf9UfuW837RnXojKgUkv7NSmPPQDxxZ" TargetMode="External"/><Relationship Id="rId398" Type="http://schemas.openxmlformats.org/officeDocument/2006/relationships/hyperlink" Target="https://drive.google.com/open?id=1lt6t7j3jZYA0_KvOp4guzXWSRFYd9Ssp" TargetMode="External"/><Relationship Id="rId155" Type="http://schemas.openxmlformats.org/officeDocument/2006/relationships/hyperlink" Target="https://drive.google.com/open?id=1wrMHIV5tmVWl0h41ECdQgGmSHufrNk2r" TargetMode="External"/><Relationship Id="rId397" Type="http://schemas.openxmlformats.org/officeDocument/2006/relationships/hyperlink" Target="https://drive.google.com/open?id=1CY0Jl9yD4nC4n32-8mIuoYLha5WMSqoy" TargetMode="External"/><Relationship Id="rId808" Type="http://schemas.openxmlformats.org/officeDocument/2006/relationships/hyperlink" Target="https://drive.google.com/open?id=1UXRAXvZbPolLQmVGW-Cd25WHAwfDo9Qv" TargetMode="External"/><Relationship Id="rId807" Type="http://schemas.openxmlformats.org/officeDocument/2006/relationships/hyperlink" Target="https://drive.google.com/open?id=1mxO2yZUuJpyuBuwzcpehRfOZPFQLv4Yu" TargetMode="External"/><Relationship Id="rId806" Type="http://schemas.openxmlformats.org/officeDocument/2006/relationships/hyperlink" Target="https://drive.google.com/open?id=16-blfD27WfInf_A6VAKGPjZ7F4SmoFNH" TargetMode="External"/><Relationship Id="rId805" Type="http://schemas.openxmlformats.org/officeDocument/2006/relationships/hyperlink" Target="https://drive.google.com/open?id=1pVTaKtfSeP3drNWSH9LEYBR-tbbUSrjK" TargetMode="External"/><Relationship Id="rId809" Type="http://schemas.openxmlformats.org/officeDocument/2006/relationships/hyperlink" Target="https://drive.google.com/open?id=1pIJsVYSThJqGhzI3re6RsYLR0_mCGUOX" TargetMode="External"/><Relationship Id="rId800" Type="http://schemas.openxmlformats.org/officeDocument/2006/relationships/hyperlink" Target="https://drive.google.com/open?id=1ZRtEiDtRt_nYCUCuX7PiXwgHOOjheRqF" TargetMode="External"/><Relationship Id="rId804" Type="http://schemas.openxmlformats.org/officeDocument/2006/relationships/hyperlink" Target="https://drive.google.com/open?id=1l_yaFgJJa6buXrIdQEr-YvTxPpU_r4bT" TargetMode="External"/><Relationship Id="rId803" Type="http://schemas.openxmlformats.org/officeDocument/2006/relationships/hyperlink" Target="https://drive.google.com/open?id=1jqTayAKDGpZL1UuPaB_4yFAONJmcFKbY" TargetMode="External"/><Relationship Id="rId802" Type="http://schemas.openxmlformats.org/officeDocument/2006/relationships/hyperlink" Target="https://drive.google.com/open?id=1uAB029dnUy-6ixOsbOh08GM68CH14bzG" TargetMode="External"/><Relationship Id="rId801" Type="http://schemas.openxmlformats.org/officeDocument/2006/relationships/hyperlink" Target="https://drive.google.com/open?id=1dvOzogTTR9G7sZAOahOQBwaXg112FMZ5" TargetMode="External"/><Relationship Id="rId40" Type="http://schemas.openxmlformats.org/officeDocument/2006/relationships/hyperlink" Target="https://drive.google.com/open?id=1h8tcQg_3K9qS-RNaJWew-YBRL4z8mKY3" TargetMode="External"/><Relationship Id="rId42" Type="http://schemas.openxmlformats.org/officeDocument/2006/relationships/hyperlink" Target="https://drive.google.com/open?id=1ozmAyV4Jq4laNpo_e5TTCBw_g6ALDJTI" TargetMode="External"/><Relationship Id="rId41" Type="http://schemas.openxmlformats.org/officeDocument/2006/relationships/hyperlink" Target="https://drive.google.com/open?id=17u7JCJMyBZ0fpgtUdJknpl2f3PZk3IAw" TargetMode="External"/><Relationship Id="rId44" Type="http://schemas.openxmlformats.org/officeDocument/2006/relationships/hyperlink" Target="https://drive.google.com/open?id=1n8jJ10CZ20V-szo8IQw3N2S2xgsg342H" TargetMode="External"/><Relationship Id="rId43" Type="http://schemas.openxmlformats.org/officeDocument/2006/relationships/hyperlink" Target="https://drive.google.com/open?id=1efdeYMSA29UzuSRhu_WDozMWVL_7kW_f" TargetMode="External"/><Relationship Id="rId46" Type="http://schemas.openxmlformats.org/officeDocument/2006/relationships/hyperlink" Target="https://drive.google.com/open?id=1T6I1QM9tE9mVo5ZhXdTO4BiCZtY-YsJt" TargetMode="External"/><Relationship Id="rId45" Type="http://schemas.openxmlformats.org/officeDocument/2006/relationships/hyperlink" Target="https://drive.google.com/open?id=15XLaHVT6344HbUUaU_tpfvFghPuvsmUP" TargetMode="External"/><Relationship Id="rId509" Type="http://schemas.openxmlformats.org/officeDocument/2006/relationships/hyperlink" Target="https://drive.google.com/open?id=1dUKVO73oTaG8HCfpcs02MYzRYUM-NsZD" TargetMode="External"/><Relationship Id="rId508" Type="http://schemas.openxmlformats.org/officeDocument/2006/relationships/hyperlink" Target="https://drive.google.com/open?id=1B4DHKbPJE9C6tW9pIJsixQ0zWuXFhses" TargetMode="External"/><Relationship Id="rId503" Type="http://schemas.openxmlformats.org/officeDocument/2006/relationships/hyperlink" Target="https://drive.google.com/open?id=1GOsIABi-C59pZIxmPJJR8qRDO5uBeB5X" TargetMode="External"/><Relationship Id="rId745" Type="http://schemas.openxmlformats.org/officeDocument/2006/relationships/hyperlink" Target="https://drive.google.com/open?id=1pchqg5SO-yYVRW2LexxMVphGc-GGpg-3" TargetMode="External"/><Relationship Id="rId987" Type="http://schemas.openxmlformats.org/officeDocument/2006/relationships/hyperlink" Target="https://drive.google.com/open?id=1ByuNQNQe5JLmKpSLo8rJSurkTTp9C6l_" TargetMode="External"/><Relationship Id="rId502" Type="http://schemas.openxmlformats.org/officeDocument/2006/relationships/hyperlink" Target="https://drive.google.com/open?id=1Jtjxa90yuM_TvNXKVhl3oww33tAh9PHZ" TargetMode="External"/><Relationship Id="rId744" Type="http://schemas.openxmlformats.org/officeDocument/2006/relationships/hyperlink" Target="https://drive.google.com/open?id=163wpKzkwKIxrA7qyPKpl2602I6rBBamf" TargetMode="External"/><Relationship Id="rId986" Type="http://schemas.openxmlformats.org/officeDocument/2006/relationships/hyperlink" Target="https://drive.google.com/open?id=1O5dIfhgtS3aoNIeIEwIcF7VE4GuTVzgX" TargetMode="External"/><Relationship Id="rId501" Type="http://schemas.openxmlformats.org/officeDocument/2006/relationships/hyperlink" Target="https://drive.google.com/open?id=10FHk7j3iTE7cpz_FL3hTKadlXkG31CLa" TargetMode="External"/><Relationship Id="rId743" Type="http://schemas.openxmlformats.org/officeDocument/2006/relationships/hyperlink" Target="https://drive.google.com/open?id=11us9PlL_kyq6jhs-yekhOc4yAcSzM_8G" TargetMode="External"/><Relationship Id="rId985" Type="http://schemas.openxmlformats.org/officeDocument/2006/relationships/hyperlink" Target="https://drive.google.com/open?id=1eMZufyrp3gfKgGLXu1qTwze50OJythS6" TargetMode="External"/><Relationship Id="rId500" Type="http://schemas.openxmlformats.org/officeDocument/2006/relationships/hyperlink" Target="https://drive.google.com/open?id=1-Yd4hNnL08jUDbd6UV30KU671kRtCl84" TargetMode="External"/><Relationship Id="rId742" Type="http://schemas.openxmlformats.org/officeDocument/2006/relationships/hyperlink" Target="https://drive.google.com/open?id=1zJxMvEZsbkKTkpMfroUm0Xx2krh7fa8d" TargetMode="External"/><Relationship Id="rId984" Type="http://schemas.openxmlformats.org/officeDocument/2006/relationships/hyperlink" Target="https://drive.google.com/open?id=1EAWE-5hK0X9WXlETW_E-RRROuvEE4tN4" TargetMode="External"/><Relationship Id="rId507" Type="http://schemas.openxmlformats.org/officeDocument/2006/relationships/hyperlink" Target="https://drive.google.com/open?id=1vDnh2J1Io7RMBIOVnWbS93dFA1u-6YRC" TargetMode="External"/><Relationship Id="rId749" Type="http://schemas.openxmlformats.org/officeDocument/2006/relationships/hyperlink" Target="https://drive.google.com/open?id=1OwyFVgwAsxZgN45F1f-aT-DD15W1FGqQ" TargetMode="External"/><Relationship Id="rId506" Type="http://schemas.openxmlformats.org/officeDocument/2006/relationships/hyperlink" Target="https://drive.google.com/open?id=1lL85nVhMYLhIgKtxtUYfkunjC4-oI2AV" TargetMode="External"/><Relationship Id="rId748" Type="http://schemas.openxmlformats.org/officeDocument/2006/relationships/hyperlink" Target="https://drive.google.com/open?id=1nYUX7s_yd6rUEZXNHrKJgnLeLE01DYBH" TargetMode="External"/><Relationship Id="rId505" Type="http://schemas.openxmlformats.org/officeDocument/2006/relationships/hyperlink" Target="https://drive.google.com/open?id=1spXShw1SpqcHamu2gbAignj4_8cmLyWm" TargetMode="External"/><Relationship Id="rId747" Type="http://schemas.openxmlformats.org/officeDocument/2006/relationships/hyperlink" Target="https://drive.google.com/open?id=1xRD_QwbnRzenif6Hj4LRBn1CvUKpJ0r5" TargetMode="External"/><Relationship Id="rId989" Type="http://schemas.openxmlformats.org/officeDocument/2006/relationships/hyperlink" Target="https://drive.google.com/open?id=1f2MpPL0SPpTxk7tXugnIV4V5XCRpmBL_" TargetMode="External"/><Relationship Id="rId504" Type="http://schemas.openxmlformats.org/officeDocument/2006/relationships/hyperlink" Target="https://drive.google.com/open?id=1zFuZP2O6pHQxv1u2lTP75AWZK7zy5Uvc" TargetMode="External"/><Relationship Id="rId746" Type="http://schemas.openxmlformats.org/officeDocument/2006/relationships/hyperlink" Target="https://drive.google.com/open?id=1B5IM5RZEP6Dp3BMi4qnPib2K1Ybk6gZP" TargetMode="External"/><Relationship Id="rId988" Type="http://schemas.openxmlformats.org/officeDocument/2006/relationships/hyperlink" Target="https://drive.google.com/open?id=16k5r0oQo5GcuLH-YEfM1_7qMtZEAqJMu" TargetMode="External"/><Relationship Id="rId48" Type="http://schemas.openxmlformats.org/officeDocument/2006/relationships/hyperlink" Target="https://drive.google.com/open?id=1DFBoH9NuybQZwxveJC_4MugC_F5gERtv" TargetMode="External"/><Relationship Id="rId47" Type="http://schemas.openxmlformats.org/officeDocument/2006/relationships/hyperlink" Target="https://drive.google.com/open?id=1s4zAe9Z1BL3S6RMLZS15P7kxe3pFEALd" TargetMode="External"/><Relationship Id="rId49" Type="http://schemas.openxmlformats.org/officeDocument/2006/relationships/hyperlink" Target="https://drive.google.com/open?id=11jZMBMSewGPIFNL4X-bPXX6w2PzECMM3" TargetMode="External"/><Relationship Id="rId741" Type="http://schemas.openxmlformats.org/officeDocument/2006/relationships/hyperlink" Target="https://drive.google.com/open?id=1HuQUNu69B6JjHnLrt3MP2lTrccUzgrWp" TargetMode="External"/><Relationship Id="rId983" Type="http://schemas.openxmlformats.org/officeDocument/2006/relationships/hyperlink" Target="https://drive.google.com/open?id=1qKOIdVzKVVTmiOIqfDyAF69jE3n-d0an" TargetMode="External"/><Relationship Id="rId740" Type="http://schemas.openxmlformats.org/officeDocument/2006/relationships/hyperlink" Target="https://drive.google.com/open?id=1BRaw0-O2Bn80XfapxfksZga0u6Y54nwM" TargetMode="External"/><Relationship Id="rId982" Type="http://schemas.openxmlformats.org/officeDocument/2006/relationships/hyperlink" Target="https://drive.google.com/open?id=1i_VzxDt56fPQb7_w8z2Gptxm2JZhjWG7" TargetMode="External"/><Relationship Id="rId981" Type="http://schemas.openxmlformats.org/officeDocument/2006/relationships/hyperlink" Target="https://drive.google.com/open?id=1CS5d1fV0LRIqCjGRXTAH4FR6VZZk-E7v" TargetMode="External"/><Relationship Id="rId980" Type="http://schemas.openxmlformats.org/officeDocument/2006/relationships/hyperlink" Target="https://drive.google.com/open?id=1gPrSKwr1Tv1MU8d-3hWNBa3QDOW04IUk" TargetMode="External"/><Relationship Id="rId31" Type="http://schemas.openxmlformats.org/officeDocument/2006/relationships/hyperlink" Target="https://drive.google.com/open?id=1ptFOwcEdsuaE1u-5NPTnrCs41k4xrhBB" TargetMode="External"/><Relationship Id="rId30" Type="http://schemas.openxmlformats.org/officeDocument/2006/relationships/hyperlink" Target="https://drive.google.com/open?id=1YnyyX0uk2TsPolRALJLkkfzJbRQgNRAe" TargetMode="External"/><Relationship Id="rId33" Type="http://schemas.openxmlformats.org/officeDocument/2006/relationships/hyperlink" Target="https://drive.google.com/open?id=15VEFiXchewIvCDCmkfAjq1DdkdZhfUU2" TargetMode="External"/><Relationship Id="rId32" Type="http://schemas.openxmlformats.org/officeDocument/2006/relationships/hyperlink" Target="https://drive.google.com/open?id=1s5A23fhoQXag_Np41E0Sn_AmwtiAOI98" TargetMode="External"/><Relationship Id="rId35" Type="http://schemas.openxmlformats.org/officeDocument/2006/relationships/hyperlink" Target="https://drive.google.com/open?id=1tAf5dKeVd7SNvoX4mqsub7sHd0AbC4OJ" TargetMode="External"/><Relationship Id="rId34" Type="http://schemas.openxmlformats.org/officeDocument/2006/relationships/hyperlink" Target="https://drive.google.com/open?id=1qOeb0Ri8k3_YJkeo0VbCslkOevyzc_GL" TargetMode="External"/><Relationship Id="rId739" Type="http://schemas.openxmlformats.org/officeDocument/2006/relationships/hyperlink" Target="https://drive.google.com/open?id=1pgM2h7OFs3P6h1aX7rjkyd6oXI7JwGUA" TargetMode="External"/><Relationship Id="rId734" Type="http://schemas.openxmlformats.org/officeDocument/2006/relationships/hyperlink" Target="https://drive.google.com/open?id=1vPcYfeSF3J_xCVfeTKfyrxExrXk7zWv5" TargetMode="External"/><Relationship Id="rId976" Type="http://schemas.openxmlformats.org/officeDocument/2006/relationships/hyperlink" Target="https://drive.google.com/open?id=1vWIWC1PMRKy8D53m0NoFGgsbvx81lmYe" TargetMode="External"/><Relationship Id="rId733" Type="http://schemas.openxmlformats.org/officeDocument/2006/relationships/hyperlink" Target="https://drive.google.com/open?id=1XGA6qYgnM9e0DYfwvMLbkbZGjpOKnvWL" TargetMode="External"/><Relationship Id="rId975" Type="http://schemas.openxmlformats.org/officeDocument/2006/relationships/hyperlink" Target="https://drive.google.com/open?id=1DxOEtDFAwkkUg3w6kUMG8qAqQn6wzSiH" TargetMode="External"/><Relationship Id="rId732" Type="http://schemas.openxmlformats.org/officeDocument/2006/relationships/hyperlink" Target="https://drive.google.com/open?id=1XehGREVNtETt2_ODnEWA-e8Wa8CJTWx9" TargetMode="External"/><Relationship Id="rId974" Type="http://schemas.openxmlformats.org/officeDocument/2006/relationships/hyperlink" Target="https://drive.google.com/open?id=14FROsu6h5v3ofwvJw9Az7jbsdAtnk9Rq" TargetMode="External"/><Relationship Id="rId731" Type="http://schemas.openxmlformats.org/officeDocument/2006/relationships/hyperlink" Target="https://drive.google.com/open?id=1DcXTeN8m_rKDeMnoEBJC57p0JckEVDHu" TargetMode="External"/><Relationship Id="rId973" Type="http://schemas.openxmlformats.org/officeDocument/2006/relationships/hyperlink" Target="https://drive.google.com/open?id=135DiGjMX28m9QJfUXQNNWTpd-dqMxbm1" TargetMode="External"/><Relationship Id="rId738" Type="http://schemas.openxmlformats.org/officeDocument/2006/relationships/hyperlink" Target="https://drive.google.com/open?id=1XUhrOQUh7kdjQDxGbRZqbUUTY4lXxb2Y" TargetMode="External"/><Relationship Id="rId737" Type="http://schemas.openxmlformats.org/officeDocument/2006/relationships/hyperlink" Target="https://drive.google.com/open?id=1xjiwCU17Pjohd0XMzynVILY9MNm1nNdQ" TargetMode="External"/><Relationship Id="rId979" Type="http://schemas.openxmlformats.org/officeDocument/2006/relationships/hyperlink" Target="https://drive.google.com/open?id=1KZsjnDQRNlmZzhYHDtYZkDsNp_WPBb4z" TargetMode="External"/><Relationship Id="rId736" Type="http://schemas.openxmlformats.org/officeDocument/2006/relationships/hyperlink" Target="https://drive.google.com/open?id=1WzeTQ9Y30UxC2RrTtRX01wPYZ2S0zQch" TargetMode="External"/><Relationship Id="rId978" Type="http://schemas.openxmlformats.org/officeDocument/2006/relationships/hyperlink" Target="https://drive.google.com/open?id=1MF4vd-m7x7E7O_uIWCQ0a5srTP0C-rrT" TargetMode="External"/><Relationship Id="rId735" Type="http://schemas.openxmlformats.org/officeDocument/2006/relationships/hyperlink" Target="https://drive.google.com/open?id=1CQYc1OedGfnT5x4m7H5Lps1jh5JphR_h" TargetMode="External"/><Relationship Id="rId977" Type="http://schemas.openxmlformats.org/officeDocument/2006/relationships/hyperlink" Target="https://drive.google.com/open?id=1ld7NHUfsfWXwWCdv6txMlRxtbOTsRHtH" TargetMode="External"/><Relationship Id="rId37" Type="http://schemas.openxmlformats.org/officeDocument/2006/relationships/hyperlink" Target="https://drive.google.com/open?id=1VMd7uuzPN2QaEQcLnYsdCKKawxrlGuYa" TargetMode="External"/><Relationship Id="rId36" Type="http://schemas.openxmlformats.org/officeDocument/2006/relationships/hyperlink" Target="https://drive.google.com/open?id=1gjS8pZYc6-gNFQSk-GByhtMt0cr6d022" TargetMode="External"/><Relationship Id="rId39" Type="http://schemas.openxmlformats.org/officeDocument/2006/relationships/hyperlink" Target="https://drive.google.com/open?id=1UJQ9sVOvviMHO9KVx53aMmBz0ahMwMle" TargetMode="External"/><Relationship Id="rId38" Type="http://schemas.openxmlformats.org/officeDocument/2006/relationships/hyperlink" Target="https://drive.google.com/open?id=1DI-LFeWXAZKtDtjlLq7xntF8AWljNCZz" TargetMode="External"/><Relationship Id="rId730" Type="http://schemas.openxmlformats.org/officeDocument/2006/relationships/hyperlink" Target="https://drive.google.com/open?id=1fTvxRnm1SyQyvWRFXU9ddipA4czUUJQx" TargetMode="External"/><Relationship Id="rId972" Type="http://schemas.openxmlformats.org/officeDocument/2006/relationships/hyperlink" Target="https://drive.google.com/open?id=1SvwR5ItZHGJGhfRS2cvkroAhqjyKbBH6" TargetMode="External"/><Relationship Id="rId971" Type="http://schemas.openxmlformats.org/officeDocument/2006/relationships/hyperlink" Target="https://drive.google.com/open?id=1PA_CMtDYMUAlgkSixQSD68-mKH9MsZ1z" TargetMode="External"/><Relationship Id="rId970" Type="http://schemas.openxmlformats.org/officeDocument/2006/relationships/hyperlink" Target="https://drive.google.com/open?id=1AXJbIjcJFmT1Dm0Pm3mtUYiQN7UE2oTI" TargetMode="External"/><Relationship Id="rId20" Type="http://schemas.openxmlformats.org/officeDocument/2006/relationships/hyperlink" Target="https://drive.google.com/open?id=1SPzPQEbJgSuA4v9mG0P2UfZ91MrpFD6g" TargetMode="External"/><Relationship Id="rId22" Type="http://schemas.openxmlformats.org/officeDocument/2006/relationships/hyperlink" Target="https://drive.google.com/open?id=1YFeZ9gk3zAR2gUqvBJfb37HYXITqOVpF" TargetMode="External"/><Relationship Id="rId21" Type="http://schemas.openxmlformats.org/officeDocument/2006/relationships/hyperlink" Target="https://drive.google.com/open?id=1LhJiPiK4SCVm78PwMiSf8erVINOog32v" TargetMode="External"/><Relationship Id="rId24" Type="http://schemas.openxmlformats.org/officeDocument/2006/relationships/hyperlink" Target="https://drive.google.com/open?id=1KYCYjs9raBFhFi5MYJdOjEeborPg04f7" TargetMode="External"/><Relationship Id="rId23" Type="http://schemas.openxmlformats.org/officeDocument/2006/relationships/hyperlink" Target="https://drive.google.com/open?id=1BBcgB4uGJ7kXoidEP7LYlTeD5F-deJGd" TargetMode="External"/><Relationship Id="rId525" Type="http://schemas.openxmlformats.org/officeDocument/2006/relationships/hyperlink" Target="https://drive.google.com/open?id=1VDcw452Si_C5stLOiaMkHd_uqzPCA8AT" TargetMode="External"/><Relationship Id="rId767" Type="http://schemas.openxmlformats.org/officeDocument/2006/relationships/hyperlink" Target="https://drive.google.com/open?id=1wBlhzsAZrc_ojGsBZ88mBJQM13QbHu1o" TargetMode="External"/><Relationship Id="rId524" Type="http://schemas.openxmlformats.org/officeDocument/2006/relationships/hyperlink" Target="https://drive.google.com/open?id=1BFYRW3IbDwH5kVD3V9rjQOmShw0f4tYv" TargetMode="External"/><Relationship Id="rId766" Type="http://schemas.openxmlformats.org/officeDocument/2006/relationships/hyperlink" Target="https://drive.google.com/open?id=1SeZRzi5dLyRFaBlpPBveDNGsp5xMB6aZ" TargetMode="External"/><Relationship Id="rId523" Type="http://schemas.openxmlformats.org/officeDocument/2006/relationships/hyperlink" Target="https://drive.google.com/open?id=1eWfOu-95LpV5pNEUsV1_T9LtzuJTaMXF" TargetMode="External"/><Relationship Id="rId765" Type="http://schemas.openxmlformats.org/officeDocument/2006/relationships/hyperlink" Target="https://drive.google.com/open?id=12HWn2K-EcXVPngRqSP2hPFXAj1bdcSDL" TargetMode="External"/><Relationship Id="rId522" Type="http://schemas.openxmlformats.org/officeDocument/2006/relationships/hyperlink" Target="https://drive.google.com/open?id=1nDOnwoGcpOddJmYhDQ08hstZgFLP-poD" TargetMode="External"/><Relationship Id="rId764" Type="http://schemas.openxmlformats.org/officeDocument/2006/relationships/hyperlink" Target="https://drive.google.com/open?id=1aeHyJPhI4QNoXZAdMmB35wC5GXrOF5mr" TargetMode="External"/><Relationship Id="rId529" Type="http://schemas.openxmlformats.org/officeDocument/2006/relationships/hyperlink" Target="https://drive.google.com/open?id=1WWDxuKvhMcjwgll_va2lDHggWaf03a11" TargetMode="External"/><Relationship Id="rId528" Type="http://schemas.openxmlformats.org/officeDocument/2006/relationships/hyperlink" Target="https://drive.google.com/open?id=1HTJOaiUYi28TZiYyFSR8hwLzrIx5SYsq" TargetMode="External"/><Relationship Id="rId527" Type="http://schemas.openxmlformats.org/officeDocument/2006/relationships/hyperlink" Target="https://drive.google.com/open?id=130Fv7yHovOv5GdZ5QwjIzRx6YxKat6bY" TargetMode="External"/><Relationship Id="rId769" Type="http://schemas.openxmlformats.org/officeDocument/2006/relationships/hyperlink" Target="https://drive.google.com/open?id=1kiTAeG9BajMmRTp2MMdh6q9LcWAyisLa" TargetMode="External"/><Relationship Id="rId526" Type="http://schemas.openxmlformats.org/officeDocument/2006/relationships/hyperlink" Target="https://drive.google.com/open?id=10FbUv1CaINn_muNZcWzu0QK58Pbt18jZ" TargetMode="External"/><Relationship Id="rId768" Type="http://schemas.openxmlformats.org/officeDocument/2006/relationships/hyperlink" Target="https://drive.google.com/open?id=1jnqobBQp0bScHwNSgKg-zi2QiUbuUQ3t" TargetMode="External"/><Relationship Id="rId26" Type="http://schemas.openxmlformats.org/officeDocument/2006/relationships/hyperlink" Target="https://drive.google.com/open?id=1suvHRBrZqhg93B3_bWUcaIbTqilKf_Hl" TargetMode="External"/><Relationship Id="rId25" Type="http://schemas.openxmlformats.org/officeDocument/2006/relationships/hyperlink" Target="https://drive.google.com/open?id=1b7aGPzXPgZFexnXlOQEijf5iNBo2urSv" TargetMode="External"/><Relationship Id="rId28" Type="http://schemas.openxmlformats.org/officeDocument/2006/relationships/hyperlink" Target="https://drive.google.com/open?id=1O9TF1e9NajKkRGH5gYb7ki7V7mfzyvYe" TargetMode="External"/><Relationship Id="rId27" Type="http://schemas.openxmlformats.org/officeDocument/2006/relationships/hyperlink" Target="https://drive.google.com/open?id=1dmCE41-tobTZhqXyLfPyzsAWQSKbglwY" TargetMode="External"/><Relationship Id="rId521" Type="http://schemas.openxmlformats.org/officeDocument/2006/relationships/hyperlink" Target="https://drive.google.com/open?id=1ToHOS2OczGqn61_ZRl4qatL2205Lrwr_" TargetMode="External"/><Relationship Id="rId763" Type="http://schemas.openxmlformats.org/officeDocument/2006/relationships/hyperlink" Target="https://drive.google.com/open?id=1235w2uLdrNrKHc_7uRsCNg4lQJo0pobe" TargetMode="External"/><Relationship Id="rId29" Type="http://schemas.openxmlformats.org/officeDocument/2006/relationships/hyperlink" Target="https://drive.google.com/open?id=1l2d3_N0ZRfFObyrZ5028p-Ld3bXZq2Gv" TargetMode="External"/><Relationship Id="rId520" Type="http://schemas.openxmlformats.org/officeDocument/2006/relationships/hyperlink" Target="https://drive.google.com/open?id=1XfCjRxVftK_exqoasZyGZwX5aPMPpNjx" TargetMode="External"/><Relationship Id="rId762" Type="http://schemas.openxmlformats.org/officeDocument/2006/relationships/hyperlink" Target="https://drive.google.com/open?id=1JxBcdNq1biAP-d-IPJbleakRhfWyNz7n" TargetMode="External"/><Relationship Id="rId761" Type="http://schemas.openxmlformats.org/officeDocument/2006/relationships/hyperlink" Target="https://drive.google.com/open?id=1uQ32IWfpYeJGQNgTnboQ_YzIcrDI_hNn" TargetMode="External"/><Relationship Id="rId760" Type="http://schemas.openxmlformats.org/officeDocument/2006/relationships/hyperlink" Target="https://drive.google.com/open?id=1hhCsmHaTkPODIS_m9_LWYldnrb_NSgA8" TargetMode="External"/><Relationship Id="rId11" Type="http://schemas.openxmlformats.org/officeDocument/2006/relationships/hyperlink" Target="https://drive.google.com/open?id=1ZFWTkFy0SqW6AuzhSBtMs15gmi93Vn1w" TargetMode="External"/><Relationship Id="rId10" Type="http://schemas.openxmlformats.org/officeDocument/2006/relationships/hyperlink" Target="https://drive.google.com/open?id=10Giv1XZ8ISnD-FUHIKK2O2xsauGpe6XE" TargetMode="External"/><Relationship Id="rId13" Type="http://schemas.openxmlformats.org/officeDocument/2006/relationships/hyperlink" Target="https://drive.google.com/open?id=1RlOpJEm8ofct5timSYMFlt1rNSX0aXBA" TargetMode="External"/><Relationship Id="rId12" Type="http://schemas.openxmlformats.org/officeDocument/2006/relationships/hyperlink" Target="https://drive.google.com/open?id=1tblnvsy7V_eeK8REceVd2XhOFXGuQDWd" TargetMode="External"/><Relationship Id="rId519" Type="http://schemas.openxmlformats.org/officeDocument/2006/relationships/hyperlink" Target="https://drive.google.com/open?id=19jc7aoGpS_q3IYFuXf-U0EVdlIgHnpEG" TargetMode="External"/><Relationship Id="rId514" Type="http://schemas.openxmlformats.org/officeDocument/2006/relationships/hyperlink" Target="https://drive.google.com/open?id=1sLCRcPDXKngJN9GTg0P_fZWSkJAe34Tu" TargetMode="External"/><Relationship Id="rId756" Type="http://schemas.openxmlformats.org/officeDocument/2006/relationships/hyperlink" Target="https://drive.google.com/open?id=17ekErsyprbM6xpwJquvgmuOnpBRTY8rl" TargetMode="External"/><Relationship Id="rId998" Type="http://schemas.openxmlformats.org/officeDocument/2006/relationships/hyperlink" Target="https://drive.google.com/open?id=1DrhimAbutNCeS670twSkWbUxGfQUpEEF" TargetMode="External"/><Relationship Id="rId513" Type="http://schemas.openxmlformats.org/officeDocument/2006/relationships/hyperlink" Target="https://drive.google.com/open?id=11YKxTSeyxuC1_ulwhgu4n17Bf4SJXix5" TargetMode="External"/><Relationship Id="rId755" Type="http://schemas.openxmlformats.org/officeDocument/2006/relationships/hyperlink" Target="https://drive.google.com/open?id=1uYIrO75VF4srq7sMtc8HCOd2heYCkqKc" TargetMode="External"/><Relationship Id="rId997" Type="http://schemas.openxmlformats.org/officeDocument/2006/relationships/hyperlink" Target="https://drive.google.com/open?id=1FEaOXWFxlEg6vIE3W2gIdJ0rVxN7qBT3" TargetMode="External"/><Relationship Id="rId512" Type="http://schemas.openxmlformats.org/officeDocument/2006/relationships/hyperlink" Target="https://drive.google.com/open?id=1zE6FWud1IW9_iMbx7hBFoNj1PlXhmxIM" TargetMode="External"/><Relationship Id="rId754" Type="http://schemas.openxmlformats.org/officeDocument/2006/relationships/hyperlink" Target="https://drive.google.com/open?id=13-Qhd1orcs5I-uel2Cp1xLbE4RDi3r_q" TargetMode="External"/><Relationship Id="rId996" Type="http://schemas.openxmlformats.org/officeDocument/2006/relationships/hyperlink" Target="https://drive.google.com/open?id=1VBU5YMjp3kMfhqyqamOPHXk7Eyg0GMsz" TargetMode="External"/><Relationship Id="rId511" Type="http://schemas.openxmlformats.org/officeDocument/2006/relationships/hyperlink" Target="https://drive.google.com/open?id=1GIIrUx96N-T5rHcDNH7Q8qKJb8oIzoYw" TargetMode="External"/><Relationship Id="rId753" Type="http://schemas.openxmlformats.org/officeDocument/2006/relationships/hyperlink" Target="https://drive.google.com/open?id=1wusv8NKuj9CB-B74jFpjrOYdVugCdpbe" TargetMode="External"/><Relationship Id="rId995" Type="http://schemas.openxmlformats.org/officeDocument/2006/relationships/hyperlink" Target="https://drive.google.com/open?id=1b_yUvZDvrhVbQ0k2k3uW5fMnbpHnnz7J" TargetMode="External"/><Relationship Id="rId518" Type="http://schemas.openxmlformats.org/officeDocument/2006/relationships/hyperlink" Target="https://drive.google.com/open?id=1kJli75UXir3-lHrsjm3H7xtfBWAyGQbc" TargetMode="External"/><Relationship Id="rId517" Type="http://schemas.openxmlformats.org/officeDocument/2006/relationships/hyperlink" Target="https://drive.google.com/open?id=1uY6Iu7Q6x8SQG_rxrlVca6Bzcu2c4t8Y" TargetMode="External"/><Relationship Id="rId759" Type="http://schemas.openxmlformats.org/officeDocument/2006/relationships/hyperlink" Target="https://drive.google.com/open?id=1TDo_991P5JPq44bteuZKzEMfdcPbLz_l" TargetMode="External"/><Relationship Id="rId516" Type="http://schemas.openxmlformats.org/officeDocument/2006/relationships/hyperlink" Target="https://drive.google.com/open?id=1GFuing3k5k5CzdDW3lHRw1dYdhAoX1Tr" TargetMode="External"/><Relationship Id="rId758" Type="http://schemas.openxmlformats.org/officeDocument/2006/relationships/hyperlink" Target="https://drive.google.com/open?id=1WWqYvIJNAV3AKbmEDyhicCeyKHkb9f-z" TargetMode="External"/><Relationship Id="rId515" Type="http://schemas.openxmlformats.org/officeDocument/2006/relationships/hyperlink" Target="https://drive.google.com/open?id=1uWoUBFA9EN5ZFeGo4iQVWPIy0FXhPQZ6" TargetMode="External"/><Relationship Id="rId757" Type="http://schemas.openxmlformats.org/officeDocument/2006/relationships/hyperlink" Target="https://drive.google.com/open?id=1wSDKMoJM_boY2_LaakBk-SD0dr0BCP79" TargetMode="External"/><Relationship Id="rId999" Type="http://schemas.openxmlformats.org/officeDocument/2006/relationships/hyperlink" Target="https://drive.google.com/open?id=1ZKNIVF3Wuzkci9LieeOJeFoHEhW2aSTA" TargetMode="External"/><Relationship Id="rId15" Type="http://schemas.openxmlformats.org/officeDocument/2006/relationships/hyperlink" Target="https://drive.google.com/open?id=1bdKbl-eyqe8HFVvOXN4AN43wYnocTmod" TargetMode="External"/><Relationship Id="rId990" Type="http://schemas.openxmlformats.org/officeDocument/2006/relationships/hyperlink" Target="https://drive.google.com/open?id=1wbrVAGwvnHkVfozdvs_weUtRHvVPe7tq" TargetMode="External"/><Relationship Id="rId14" Type="http://schemas.openxmlformats.org/officeDocument/2006/relationships/hyperlink" Target="https://drive.google.com/open?id=1xuZtx1naQDp3wkPPgrUNQgafjg-sKTs2" TargetMode="External"/><Relationship Id="rId17" Type="http://schemas.openxmlformats.org/officeDocument/2006/relationships/hyperlink" Target="https://drive.google.com/open?id=1V0RLsshcbPnVsZ2_tmWop5hsAkVAxtAM" TargetMode="External"/><Relationship Id="rId16" Type="http://schemas.openxmlformats.org/officeDocument/2006/relationships/hyperlink" Target="https://drive.google.com/open?id=1d0LsUXNfizhT_DdhdXZ7lgxDX6QWEaAQ" TargetMode="External"/><Relationship Id="rId19" Type="http://schemas.openxmlformats.org/officeDocument/2006/relationships/hyperlink" Target="https://drive.google.com/open?id=10HznNW7UBxz1q8l_1rTim23LX_on83jv" TargetMode="External"/><Relationship Id="rId510" Type="http://schemas.openxmlformats.org/officeDocument/2006/relationships/hyperlink" Target="https://drive.google.com/open?id=1bxC_fHi9drCz78bDjtTYw3g8c3XLUqRt" TargetMode="External"/><Relationship Id="rId752" Type="http://schemas.openxmlformats.org/officeDocument/2006/relationships/hyperlink" Target="https://drive.google.com/open?id=1JrzKa6Ydu1qYH77QZWvjC5mqwUcIlYVC" TargetMode="External"/><Relationship Id="rId994" Type="http://schemas.openxmlformats.org/officeDocument/2006/relationships/hyperlink" Target="https://drive.google.com/open?id=1CqJpIO6N7mHF02YxMFyqIdLvgBjV3Okm" TargetMode="External"/><Relationship Id="rId18" Type="http://schemas.openxmlformats.org/officeDocument/2006/relationships/hyperlink" Target="https://drive.google.com/open?id=1Y9HypKMoyK4jtoK018cY-DiJrZcOaKUr" TargetMode="External"/><Relationship Id="rId751" Type="http://schemas.openxmlformats.org/officeDocument/2006/relationships/hyperlink" Target="https://drive.google.com/open?id=161yoc0FyT72YteGRNlo7wQrpg4q7Iv8K" TargetMode="External"/><Relationship Id="rId993" Type="http://schemas.openxmlformats.org/officeDocument/2006/relationships/hyperlink" Target="https://drive.google.com/open?id=155jRo3ix1QB8xHeb985Zx2r8NlhnwXFA" TargetMode="External"/><Relationship Id="rId750" Type="http://schemas.openxmlformats.org/officeDocument/2006/relationships/hyperlink" Target="https://drive.google.com/open?id=1fP50X1bhu3vJ0OUXr6q-X9MnWBaTGZfx" TargetMode="External"/><Relationship Id="rId992" Type="http://schemas.openxmlformats.org/officeDocument/2006/relationships/hyperlink" Target="https://drive.google.com/open?id=1zErZ9JydLQ2Gqdj0jIV3gkHnwVXTc8gh" TargetMode="External"/><Relationship Id="rId991" Type="http://schemas.openxmlformats.org/officeDocument/2006/relationships/hyperlink" Target="https://drive.google.com/open?id=10IgZX1kL49sI5k9pg7yDwWXwDigX9wZB" TargetMode="External"/><Relationship Id="rId84" Type="http://schemas.openxmlformats.org/officeDocument/2006/relationships/hyperlink" Target="https://drive.google.com/open?id=1huLYprj-tZHTe50pcEVu-CAOvGvrqUpl" TargetMode="External"/><Relationship Id="rId83" Type="http://schemas.openxmlformats.org/officeDocument/2006/relationships/hyperlink" Target="https://drive.google.com/open?id=1TR0J4ERtj0DP0NKjdw0f5S-eoZ3c1V8X" TargetMode="External"/><Relationship Id="rId86" Type="http://schemas.openxmlformats.org/officeDocument/2006/relationships/hyperlink" Target="https://drive.google.com/open?id=1CHlNpsshA-KEUAhe2TwuLWcSqeNX1oca" TargetMode="External"/><Relationship Id="rId85" Type="http://schemas.openxmlformats.org/officeDocument/2006/relationships/hyperlink" Target="https://drive.google.com/open?id=1owE6thnyG4e5SozAllMYrL1wTgG4pLqh" TargetMode="External"/><Relationship Id="rId88" Type="http://schemas.openxmlformats.org/officeDocument/2006/relationships/hyperlink" Target="https://drive.google.com/open?id=1voX_O-cHGxwTeVhS417lqH2XY06jxa1x" TargetMode="External"/><Relationship Id="rId87" Type="http://schemas.openxmlformats.org/officeDocument/2006/relationships/hyperlink" Target="https://drive.google.com/open?id=1B8chfwGowqW0GnGzLoaKq7s4D3g1KwnK" TargetMode="External"/><Relationship Id="rId89" Type="http://schemas.openxmlformats.org/officeDocument/2006/relationships/hyperlink" Target="https://drive.google.com/open?id=1qBJZr2R8HgCdKx553f2_nx1SMKvtAWUY" TargetMode="External"/><Relationship Id="rId709" Type="http://schemas.openxmlformats.org/officeDocument/2006/relationships/hyperlink" Target="https://drive.google.com/open?id=1O8Y7Ap1Hvc2qNCF9njC_X9490e4LfcDb" TargetMode="External"/><Relationship Id="rId708" Type="http://schemas.openxmlformats.org/officeDocument/2006/relationships/hyperlink" Target="https://drive.google.com/open?id=1naho07n4YwjTDR-mkHpddXvK_bqXdOsj" TargetMode="External"/><Relationship Id="rId707" Type="http://schemas.openxmlformats.org/officeDocument/2006/relationships/hyperlink" Target="https://drive.google.com/open?id=1vcv1KPxdl_vJ3o5mKxGrCcKWn1gJrqwM" TargetMode="External"/><Relationship Id="rId949" Type="http://schemas.openxmlformats.org/officeDocument/2006/relationships/hyperlink" Target="https://drive.google.com/open?id=1f1C70NzyGSMGWzDRhZXeA4uY2F3IlutW" TargetMode="External"/><Relationship Id="rId706" Type="http://schemas.openxmlformats.org/officeDocument/2006/relationships/hyperlink" Target="https://drive.google.com/open?id=1dZUJZLCE0UFphrLv2xrWWO9SOnDFfZgR" TargetMode="External"/><Relationship Id="rId948" Type="http://schemas.openxmlformats.org/officeDocument/2006/relationships/hyperlink" Target="https://drive.google.com/open?id=1VvgxBv7e6mhn5im49UX4iz-VWgFsEUnp" TargetMode="External"/><Relationship Id="rId80" Type="http://schemas.openxmlformats.org/officeDocument/2006/relationships/hyperlink" Target="https://drive.google.com/open?id=1hlAJxHVjOE8gYP-5JlhOs1_ufl7xo-CU" TargetMode="External"/><Relationship Id="rId82" Type="http://schemas.openxmlformats.org/officeDocument/2006/relationships/hyperlink" Target="https://drive.google.com/open?id=1UlUE5jdaZXShGGnnu7IwTENR86A8t5Gl" TargetMode="External"/><Relationship Id="rId81" Type="http://schemas.openxmlformats.org/officeDocument/2006/relationships/hyperlink" Target="https://drive.google.com/open?id=1v-PJACEVbuCV5VY1UV_QEQN4VN9oZ7AR" TargetMode="External"/><Relationship Id="rId701" Type="http://schemas.openxmlformats.org/officeDocument/2006/relationships/hyperlink" Target="https://drive.google.com/open?id=1a2Wfs1nmn8IplcCkgH4CU527qCbngICe" TargetMode="External"/><Relationship Id="rId943" Type="http://schemas.openxmlformats.org/officeDocument/2006/relationships/hyperlink" Target="https://drive.google.com/open?id=1mdPvcZoIrI7Xz0tz0P7onibFk5Fn47k-" TargetMode="External"/><Relationship Id="rId700" Type="http://schemas.openxmlformats.org/officeDocument/2006/relationships/hyperlink" Target="https://drive.google.com/open?id=1gxWjSLiBKVOpShl5ktzIYjUWKXIfLKqa" TargetMode="External"/><Relationship Id="rId942" Type="http://schemas.openxmlformats.org/officeDocument/2006/relationships/hyperlink" Target="https://drive.google.com/open?id=1Ook2ja2dWudFMGMprxEJL7mBe_uxbJ5K" TargetMode="External"/><Relationship Id="rId941" Type="http://schemas.openxmlformats.org/officeDocument/2006/relationships/hyperlink" Target="https://drive.google.com/open?id=1KnO7feiU2JIqalE80SBl96dA7lt7kRbX" TargetMode="External"/><Relationship Id="rId940" Type="http://schemas.openxmlformats.org/officeDocument/2006/relationships/hyperlink" Target="https://drive.google.com/open?id=1yejxZXMvR-ctHsmynQMAKF1tQOjDiz0I" TargetMode="External"/><Relationship Id="rId705" Type="http://schemas.openxmlformats.org/officeDocument/2006/relationships/hyperlink" Target="https://drive.google.com/open?id=1buEtT4Jp7cjF_VxrXWi5JXImu_DwdfAu" TargetMode="External"/><Relationship Id="rId947" Type="http://schemas.openxmlformats.org/officeDocument/2006/relationships/hyperlink" Target="https://drive.google.com/open?id=1LLN104CeO35TMc5xxa7CJB7otKmdM4L4" TargetMode="External"/><Relationship Id="rId704" Type="http://schemas.openxmlformats.org/officeDocument/2006/relationships/hyperlink" Target="https://drive.google.com/open?id=1fc9Z7SHQFifz0fH8GQFmAoYeakiVHb-k" TargetMode="External"/><Relationship Id="rId946" Type="http://schemas.openxmlformats.org/officeDocument/2006/relationships/hyperlink" Target="https://drive.google.com/open?id=1vXrN7w5kyx8jf8_2Lgvf25uZJcIhoY1S" TargetMode="External"/><Relationship Id="rId703" Type="http://schemas.openxmlformats.org/officeDocument/2006/relationships/hyperlink" Target="https://drive.google.com/open?id=1iWCcJZ-fHczgqA06XqCchSurTf7MI9PU" TargetMode="External"/><Relationship Id="rId945" Type="http://schemas.openxmlformats.org/officeDocument/2006/relationships/hyperlink" Target="https://drive.google.com/open?id=1t5yS6ShG7RzxPMCzlPJ-Dl5cpmcXOIcE" TargetMode="External"/><Relationship Id="rId702" Type="http://schemas.openxmlformats.org/officeDocument/2006/relationships/hyperlink" Target="https://drive.google.com/open?id=1Ph-oo-coyaY_hYOUiMFDW8djkHvXzAry" TargetMode="External"/><Relationship Id="rId944" Type="http://schemas.openxmlformats.org/officeDocument/2006/relationships/hyperlink" Target="https://drive.google.com/open?id=1Ba2kvmJlegrS1N1cbFdk1u8K7_8m2Mmv" TargetMode="External"/><Relationship Id="rId73" Type="http://schemas.openxmlformats.org/officeDocument/2006/relationships/hyperlink" Target="https://drive.google.com/open?id=1VgVIkMVNLwcH2gmNl7Oncn0vSb6olPcy" TargetMode="External"/><Relationship Id="rId72" Type="http://schemas.openxmlformats.org/officeDocument/2006/relationships/hyperlink" Target="https://drive.google.com/open?id=1FjnT-WpWKcJzizec_ndC-TylHrf29yLZ" TargetMode="External"/><Relationship Id="rId75" Type="http://schemas.openxmlformats.org/officeDocument/2006/relationships/hyperlink" Target="https://drive.google.com/open?id=1nwf9lwZ_QWifA_q7qhneOgB4c-AoKu07" TargetMode="External"/><Relationship Id="rId74" Type="http://schemas.openxmlformats.org/officeDocument/2006/relationships/hyperlink" Target="https://drive.google.com/open?id=117F_2ckmByK4B8NjV6HuYRtz2yS45crb" TargetMode="External"/><Relationship Id="rId77" Type="http://schemas.openxmlformats.org/officeDocument/2006/relationships/hyperlink" Target="https://drive.google.com/open?id=1VmReSCvbuSJPSnxLPO-gNW5cnBH6-NJ3" TargetMode="External"/><Relationship Id="rId76" Type="http://schemas.openxmlformats.org/officeDocument/2006/relationships/hyperlink" Target="https://drive.google.com/open?id=1FtIXd8EnxID4EV15nzGIUKROk9MaIxQb" TargetMode="External"/><Relationship Id="rId79" Type="http://schemas.openxmlformats.org/officeDocument/2006/relationships/hyperlink" Target="https://drive.google.com/open?id=1tekI-R36tjEMh4UZVlFt-s-6o2f1m-Dz" TargetMode="External"/><Relationship Id="rId78" Type="http://schemas.openxmlformats.org/officeDocument/2006/relationships/hyperlink" Target="https://drive.google.com/open?id=1ven4XjWfV0fnB_eQFalUE6qv49u-kp3-" TargetMode="External"/><Relationship Id="rId939" Type="http://schemas.openxmlformats.org/officeDocument/2006/relationships/hyperlink" Target="https://drive.google.com/open?id=1wjv6r_bKjwT_hMvGPM4B5KnioxrvQ1qw" TargetMode="External"/><Relationship Id="rId938" Type="http://schemas.openxmlformats.org/officeDocument/2006/relationships/hyperlink" Target="https://drive.google.com/open?id=1hjyXiRBQMArwqD11EX8-XrQi63KeoaA7" TargetMode="External"/><Relationship Id="rId937" Type="http://schemas.openxmlformats.org/officeDocument/2006/relationships/hyperlink" Target="https://drive.google.com/open?id=1iINsq6-w8ZLz22vpIVLi4A3kL7UpcWMv" TargetMode="External"/><Relationship Id="rId71" Type="http://schemas.openxmlformats.org/officeDocument/2006/relationships/hyperlink" Target="https://drive.google.com/open?id=1fPZd5danS3zON9d6v285XBBaOxDqsQ5k" TargetMode="External"/><Relationship Id="rId70" Type="http://schemas.openxmlformats.org/officeDocument/2006/relationships/hyperlink" Target="https://drive.google.com/open?id=1pSkM4NFeERqKPp_YxB1GmifJiStwJ31o" TargetMode="External"/><Relationship Id="rId932" Type="http://schemas.openxmlformats.org/officeDocument/2006/relationships/hyperlink" Target="https://drive.google.com/open?id=1LuHBNkb321PRocjYvuP3CZPsLZGKSXxN" TargetMode="External"/><Relationship Id="rId931" Type="http://schemas.openxmlformats.org/officeDocument/2006/relationships/hyperlink" Target="https://drive.google.com/open?id=1n7rSHPfal1cpIyoiPfVZRhbXH7lTdD8n" TargetMode="External"/><Relationship Id="rId930" Type="http://schemas.openxmlformats.org/officeDocument/2006/relationships/hyperlink" Target="https://drive.google.com/open?id=1NFjcn4BTy89ch0oNDjzQFYQpAUGi5U0h" TargetMode="External"/><Relationship Id="rId936" Type="http://schemas.openxmlformats.org/officeDocument/2006/relationships/hyperlink" Target="https://drive.google.com/open?id=16XYnuce_Lhxlvw8qh5bDD5VYp1RpqXE3" TargetMode="External"/><Relationship Id="rId935" Type="http://schemas.openxmlformats.org/officeDocument/2006/relationships/hyperlink" Target="https://drive.google.com/open?id=1L5MKpd8tmxFSmJ9eA6Zi1qSsAlGFcNw1" TargetMode="External"/><Relationship Id="rId934" Type="http://schemas.openxmlformats.org/officeDocument/2006/relationships/hyperlink" Target="https://drive.google.com/open?id=1c2qD1iG1zqdmLrIvWgdT-TmXm4JSgDaz" TargetMode="External"/><Relationship Id="rId933" Type="http://schemas.openxmlformats.org/officeDocument/2006/relationships/hyperlink" Target="https://drive.google.com/open?id=1PL1xZWrAPO_jM4OZf_hxMF6R83dBbnqo" TargetMode="External"/><Relationship Id="rId62" Type="http://schemas.openxmlformats.org/officeDocument/2006/relationships/hyperlink" Target="https://drive.google.com/open?id=1LM-1_OKv3apzvpJvknrAJfBsUEyfnayN" TargetMode="External"/><Relationship Id="rId61" Type="http://schemas.openxmlformats.org/officeDocument/2006/relationships/hyperlink" Target="https://drive.google.com/open?id=1I0qNpNtYsN4LHl17JoDXRj4LPEcyBbV5" TargetMode="External"/><Relationship Id="rId64" Type="http://schemas.openxmlformats.org/officeDocument/2006/relationships/hyperlink" Target="https://drive.google.com/open?id=1p4NOGffBxy5UlNV5Dz1j-XYyw8SRUKJs" TargetMode="External"/><Relationship Id="rId63" Type="http://schemas.openxmlformats.org/officeDocument/2006/relationships/hyperlink" Target="https://drive.google.com/open?id=1_hToEA1MgSx59SjZzDEVoxck553nYlL5" TargetMode="External"/><Relationship Id="rId66" Type="http://schemas.openxmlformats.org/officeDocument/2006/relationships/hyperlink" Target="https://drive.google.com/open?id=1ufday6VpH6jJ70WIqK5up39BEXtzv0N8" TargetMode="External"/><Relationship Id="rId65" Type="http://schemas.openxmlformats.org/officeDocument/2006/relationships/hyperlink" Target="https://drive.google.com/open?id=1y8lG_79Anz6UZXoTmNkHu8NFvJXjXjER" TargetMode="External"/><Relationship Id="rId68" Type="http://schemas.openxmlformats.org/officeDocument/2006/relationships/hyperlink" Target="https://drive.google.com/open?id=1ThoO1n--rtL3qr964FbUNA79XzaXbsaS" TargetMode="External"/><Relationship Id="rId67" Type="http://schemas.openxmlformats.org/officeDocument/2006/relationships/hyperlink" Target="https://drive.google.com/open?id=1bo7oWrYt4tDw0ACDBFoV_VU1WncLS0HA" TargetMode="External"/><Relationship Id="rId729" Type="http://schemas.openxmlformats.org/officeDocument/2006/relationships/hyperlink" Target="https://drive.google.com/open?id=19EyudNkvCkHwmABxi5spE9V7lMT40ZNf" TargetMode="External"/><Relationship Id="rId728" Type="http://schemas.openxmlformats.org/officeDocument/2006/relationships/hyperlink" Target="https://drive.google.com/open?id=15p1hHEvL_6drhRD645Bjo5cManPcBihC" TargetMode="External"/><Relationship Id="rId60" Type="http://schemas.openxmlformats.org/officeDocument/2006/relationships/hyperlink" Target="https://drive.google.com/open?id=1MSxlbdyuZRtctdDNY0ZAlXE2b44KCllF" TargetMode="External"/><Relationship Id="rId723" Type="http://schemas.openxmlformats.org/officeDocument/2006/relationships/hyperlink" Target="https://drive.google.com/open?id=1WY9J622QM20_YDPJbDuJbU48GyOT45SL" TargetMode="External"/><Relationship Id="rId965" Type="http://schemas.openxmlformats.org/officeDocument/2006/relationships/hyperlink" Target="https://drive.google.com/open?id=1Z6IcJYqb9H7aVskKA1EJ2r5USBuM_qdK" TargetMode="External"/><Relationship Id="rId722" Type="http://schemas.openxmlformats.org/officeDocument/2006/relationships/hyperlink" Target="https://drive.google.com/open?id=1v_w5zX97YdTec2g72okfeJF3OdCLPaYD" TargetMode="External"/><Relationship Id="rId964" Type="http://schemas.openxmlformats.org/officeDocument/2006/relationships/hyperlink" Target="https://drive.google.com/open?id=1nbWmf74E8l5GliFO1pYxaI7UotSamfk8" TargetMode="External"/><Relationship Id="rId721" Type="http://schemas.openxmlformats.org/officeDocument/2006/relationships/hyperlink" Target="https://drive.google.com/open?id=1CC8pFP8d7TMOYS_oOLvnlsPthaGXuDw8" TargetMode="External"/><Relationship Id="rId963" Type="http://schemas.openxmlformats.org/officeDocument/2006/relationships/hyperlink" Target="https://drive.google.com/open?id=1uXUcnKHePY7515h730qKnkvaE_2AXV3E" TargetMode="External"/><Relationship Id="rId720" Type="http://schemas.openxmlformats.org/officeDocument/2006/relationships/hyperlink" Target="https://drive.google.com/open?id=1piHt-vZxglM23gJ8XAybZ1OoIjQF8IZO" TargetMode="External"/><Relationship Id="rId962" Type="http://schemas.openxmlformats.org/officeDocument/2006/relationships/hyperlink" Target="https://drive.google.com/open?id=11wai4tAigCfQMFDazWMr0_Y8IbxL-cbl" TargetMode="External"/><Relationship Id="rId727" Type="http://schemas.openxmlformats.org/officeDocument/2006/relationships/hyperlink" Target="https://drive.google.com/open?id=1u5neasVtU3uhGZw-0zZTlM2yGNkesYfg" TargetMode="External"/><Relationship Id="rId969" Type="http://schemas.openxmlformats.org/officeDocument/2006/relationships/hyperlink" Target="https://drive.google.com/open?id=14AoaoChDXe4nXx64GFJOJXI7bBcv6Dby" TargetMode="External"/><Relationship Id="rId726" Type="http://schemas.openxmlformats.org/officeDocument/2006/relationships/hyperlink" Target="https://drive.google.com/open?id=16Lqj6Qps8qoTqzz5FrqoibzObh3qGJOh" TargetMode="External"/><Relationship Id="rId968" Type="http://schemas.openxmlformats.org/officeDocument/2006/relationships/hyperlink" Target="https://drive.google.com/open?id=1cC--b1J_f9Xy9uSMhHNUKaXRr4jEgZNJ" TargetMode="External"/><Relationship Id="rId725" Type="http://schemas.openxmlformats.org/officeDocument/2006/relationships/hyperlink" Target="https://drive.google.com/open?id=1sWYrpr3ODJPfzZiLn1AlMOrJGs8Kd-BP" TargetMode="External"/><Relationship Id="rId967" Type="http://schemas.openxmlformats.org/officeDocument/2006/relationships/hyperlink" Target="https://drive.google.com/open?id=1K6oCPgLNnhOTLdNlwNJrJGJXsC3jsY63" TargetMode="External"/><Relationship Id="rId724" Type="http://schemas.openxmlformats.org/officeDocument/2006/relationships/hyperlink" Target="https://drive.google.com/open?id=1EUSJccgm7tW9sp4YVVGUKOpoBBUvh-Vo" TargetMode="External"/><Relationship Id="rId966" Type="http://schemas.openxmlformats.org/officeDocument/2006/relationships/hyperlink" Target="https://drive.google.com/open?id=1NEb9g0F9jH6oYju2igOFo0XeQkzNVZfh" TargetMode="External"/><Relationship Id="rId69" Type="http://schemas.openxmlformats.org/officeDocument/2006/relationships/hyperlink" Target="https://drive.google.com/open?id=1lBkuIKFCxm_sAhGnmHmfWF-nru43w09m" TargetMode="External"/><Relationship Id="rId961" Type="http://schemas.openxmlformats.org/officeDocument/2006/relationships/hyperlink" Target="https://drive.google.com/open?id=19hRDWlMk8TuGYdyg2nCX1iiA707ZXSKd" TargetMode="External"/><Relationship Id="rId960" Type="http://schemas.openxmlformats.org/officeDocument/2006/relationships/hyperlink" Target="https://drive.google.com/open?id=1yqq498E50Eo8cKwAJHXAyZ4IuQBSUUMN" TargetMode="External"/><Relationship Id="rId51" Type="http://schemas.openxmlformats.org/officeDocument/2006/relationships/hyperlink" Target="https://drive.google.com/open?id=1GFyMwR3g2m-Z9cjc9mj8XguaIMtTD8Uq" TargetMode="External"/><Relationship Id="rId50" Type="http://schemas.openxmlformats.org/officeDocument/2006/relationships/hyperlink" Target="https://drive.google.com/open?id=1E8MnvmXq977i0hskQ10LmX9qvqIjgl9g" TargetMode="External"/><Relationship Id="rId53" Type="http://schemas.openxmlformats.org/officeDocument/2006/relationships/hyperlink" Target="https://drive.google.com/open?id=1sI3bQyv2-wubbWmWWcHynwlW-gCfPoAT" TargetMode="External"/><Relationship Id="rId52" Type="http://schemas.openxmlformats.org/officeDocument/2006/relationships/hyperlink" Target="https://drive.google.com/open?id=1jVV_vHExYS0oHT9rMVJhh0bYTR34O5Gn" TargetMode="External"/><Relationship Id="rId55" Type="http://schemas.openxmlformats.org/officeDocument/2006/relationships/hyperlink" Target="https://drive.google.com/open?id=1kcm1p-XIGSMisqa1TODR4hCOmBH3TSEX" TargetMode="External"/><Relationship Id="rId54" Type="http://schemas.openxmlformats.org/officeDocument/2006/relationships/hyperlink" Target="https://drive.google.com/open?id=1YS-bxN-l0wxy33THHQ1Njc1z44Vjamr5" TargetMode="External"/><Relationship Id="rId57" Type="http://schemas.openxmlformats.org/officeDocument/2006/relationships/hyperlink" Target="https://drive.google.com/open?id=1ILj8WFkbiFAkzvXMcnai-1kNec63olJA" TargetMode="External"/><Relationship Id="rId56" Type="http://schemas.openxmlformats.org/officeDocument/2006/relationships/hyperlink" Target="https://drive.google.com/open?id=1TlnlOStGRsQpeKHXLgZfJmbYSfS5-TpJ" TargetMode="External"/><Relationship Id="rId719" Type="http://schemas.openxmlformats.org/officeDocument/2006/relationships/hyperlink" Target="https://drive.google.com/open?id=1201p3G_kM7SyeYVgJT0rQpVxnfNVT81t" TargetMode="External"/><Relationship Id="rId718" Type="http://schemas.openxmlformats.org/officeDocument/2006/relationships/hyperlink" Target="https://drive.google.com/open?id=12gPoUbc17mtEZysycN-9pI9_6tqUBfM7" TargetMode="External"/><Relationship Id="rId717" Type="http://schemas.openxmlformats.org/officeDocument/2006/relationships/hyperlink" Target="https://drive.google.com/open?id=1I2gRQuBTLLTdHqD3h2oiAFS7rqBRD0bh" TargetMode="External"/><Relationship Id="rId959" Type="http://schemas.openxmlformats.org/officeDocument/2006/relationships/hyperlink" Target="https://drive.google.com/open?id=19DnwMUSEraGmhJOCWmebvDnKw9ZPnc4G" TargetMode="External"/><Relationship Id="rId712" Type="http://schemas.openxmlformats.org/officeDocument/2006/relationships/hyperlink" Target="https://drive.google.com/open?id=1XXFHyehihg-iITe0ErFdPoh_bDr73PYe" TargetMode="External"/><Relationship Id="rId954" Type="http://schemas.openxmlformats.org/officeDocument/2006/relationships/hyperlink" Target="https://drive.google.com/open?id=1KsFBgwYvpkZK1UYwWFPsdemxqs7hvXp-" TargetMode="External"/><Relationship Id="rId711" Type="http://schemas.openxmlformats.org/officeDocument/2006/relationships/hyperlink" Target="https://drive.google.com/open?id=1-QrJvDlJLWqY0ybh41stboWYN1-pvKCc" TargetMode="External"/><Relationship Id="rId953" Type="http://schemas.openxmlformats.org/officeDocument/2006/relationships/hyperlink" Target="https://drive.google.com/open?id=12leE_PN9gVfNyClP_PfcC0MFDSpgD5_q" TargetMode="External"/><Relationship Id="rId710" Type="http://schemas.openxmlformats.org/officeDocument/2006/relationships/hyperlink" Target="https://drive.google.com/open?id=1H3pUQsSkzs-OHvSwVQv_KloW9HQp3fWW" TargetMode="External"/><Relationship Id="rId952" Type="http://schemas.openxmlformats.org/officeDocument/2006/relationships/hyperlink" Target="https://drive.google.com/open?id=1OzM4ukDF_wEiC33Gwwxy61e3e3wAxM_i" TargetMode="External"/><Relationship Id="rId951" Type="http://schemas.openxmlformats.org/officeDocument/2006/relationships/hyperlink" Target="https://drive.google.com/open?id=1rncIrFI_FCL0o0wGoiS3ubMPxJTgCKBR" TargetMode="External"/><Relationship Id="rId716" Type="http://schemas.openxmlformats.org/officeDocument/2006/relationships/hyperlink" Target="https://drive.google.com/open?id=1be06nXCNXDpTaqUK0MIJTb2I3niSVoWH" TargetMode="External"/><Relationship Id="rId958" Type="http://schemas.openxmlformats.org/officeDocument/2006/relationships/hyperlink" Target="https://drive.google.com/open?id=1fgFmJE2sMVpYA71STro-ZxbXEuvTs3_P" TargetMode="External"/><Relationship Id="rId715" Type="http://schemas.openxmlformats.org/officeDocument/2006/relationships/hyperlink" Target="https://drive.google.com/open?id=1vqtrOODbLS22dD-VbvbnPgDQEQB4wM_E" TargetMode="External"/><Relationship Id="rId957" Type="http://schemas.openxmlformats.org/officeDocument/2006/relationships/hyperlink" Target="https://drive.google.com/open?id=1Mj-5w-z4i77CcvT9Lc5O6gkniVhk8XLF" TargetMode="External"/><Relationship Id="rId714" Type="http://schemas.openxmlformats.org/officeDocument/2006/relationships/hyperlink" Target="https://drive.google.com/open?id=1B8k_sFoQ-Ss-4OzAQlmKAY7Zn8lrZYgt" TargetMode="External"/><Relationship Id="rId956" Type="http://schemas.openxmlformats.org/officeDocument/2006/relationships/hyperlink" Target="https://drive.google.com/open?id=1VKdyYRBjaW9KSIyruzesTCm7UIInDFyb" TargetMode="External"/><Relationship Id="rId713" Type="http://schemas.openxmlformats.org/officeDocument/2006/relationships/hyperlink" Target="https://drive.google.com/open?id=1XNq5RAGBEKbzszNkrltbh9hanFySrmgL" TargetMode="External"/><Relationship Id="rId955" Type="http://schemas.openxmlformats.org/officeDocument/2006/relationships/hyperlink" Target="https://drive.google.com/open?id=1vIriRkVqmpawEpKwOUxZX6_AEiPv42vL" TargetMode="External"/><Relationship Id="rId59" Type="http://schemas.openxmlformats.org/officeDocument/2006/relationships/hyperlink" Target="https://drive.google.com/open?id=12EznUPtNDEhAE2A3FrQk9EcSUqEPIYRp" TargetMode="External"/><Relationship Id="rId58" Type="http://schemas.openxmlformats.org/officeDocument/2006/relationships/hyperlink" Target="https://drive.google.com/open?id=1ufEgi6FeIfsVv-4jWyyzIX2cnGX4VFM7" TargetMode="External"/><Relationship Id="rId950" Type="http://schemas.openxmlformats.org/officeDocument/2006/relationships/hyperlink" Target="https://drive.google.com/open?id=1ixUkqGidtXGe6ZIIbm3CQ6i_NcJGLCwv" TargetMode="External"/><Relationship Id="rId590" Type="http://schemas.openxmlformats.org/officeDocument/2006/relationships/hyperlink" Target="https://drive.google.com/open?id=1_fzSzvYpG6590Pyt5_nP4T6KOkSoaYgF" TargetMode="External"/><Relationship Id="rId107" Type="http://schemas.openxmlformats.org/officeDocument/2006/relationships/hyperlink" Target="https://drive.google.com/open?id=1ETkOJCgpMMbqb90iRloJtYtiyhfZA51E" TargetMode="External"/><Relationship Id="rId349" Type="http://schemas.openxmlformats.org/officeDocument/2006/relationships/hyperlink" Target="https://drive.google.com/open?id=1Z_WY_TkUEhHCQl4lef3p5wJLsVF63j_M" TargetMode="External"/><Relationship Id="rId106" Type="http://schemas.openxmlformats.org/officeDocument/2006/relationships/hyperlink" Target="https://drive.google.com/open?id=12bEUa3HN5GevhbOb2B1jKGecoKrdgy7z" TargetMode="External"/><Relationship Id="rId348" Type="http://schemas.openxmlformats.org/officeDocument/2006/relationships/hyperlink" Target="https://drive.google.com/open?id=1MGuRZ2csLXYh4pVdtU7DL6GmXJNOJcYm" TargetMode="External"/><Relationship Id="rId105" Type="http://schemas.openxmlformats.org/officeDocument/2006/relationships/hyperlink" Target="https://drive.google.com/open?id=1NOv6eQ0iclyH2l4RqOorojd8_Zo9Qatl" TargetMode="External"/><Relationship Id="rId347" Type="http://schemas.openxmlformats.org/officeDocument/2006/relationships/hyperlink" Target="https://drive.google.com/open?id=1uMOfnHSNWOz6XXRRi1G1efZB6X-Nqy_F" TargetMode="External"/><Relationship Id="rId589" Type="http://schemas.openxmlformats.org/officeDocument/2006/relationships/hyperlink" Target="https://drive.google.com/open?id=1fUk0ZnnriT3Rgog39ZXWWKRQSZVdac0_" TargetMode="External"/><Relationship Id="rId104" Type="http://schemas.openxmlformats.org/officeDocument/2006/relationships/hyperlink" Target="https://drive.google.com/open?id=11-0M__41-VDWJe1dylwxBDXwzWCiFnXB" TargetMode="External"/><Relationship Id="rId346" Type="http://schemas.openxmlformats.org/officeDocument/2006/relationships/hyperlink" Target="https://drive.google.com/open?id=10gNEhy3sljVx5wn4uAZPNSpA3Xc3gKMK" TargetMode="External"/><Relationship Id="rId588" Type="http://schemas.openxmlformats.org/officeDocument/2006/relationships/hyperlink" Target="https://drive.google.com/open?id=1HiCNwCE2jVPa1wEVy_fJ0xgxvlujJw8h" TargetMode="External"/><Relationship Id="rId109" Type="http://schemas.openxmlformats.org/officeDocument/2006/relationships/hyperlink" Target="https://drive.google.com/open?id=1SJrFXfU6c68lj0aWbmjqcQnt1Br7is6a" TargetMode="External"/><Relationship Id="rId108" Type="http://schemas.openxmlformats.org/officeDocument/2006/relationships/hyperlink" Target="https://drive.google.com/open?id=1I7MdHDcuRhN662oK94dWv-NQAOgVMvE8" TargetMode="External"/><Relationship Id="rId341" Type="http://schemas.openxmlformats.org/officeDocument/2006/relationships/hyperlink" Target="https://drive.google.com/open?id=1SQbHASMJTf-QyUXKtVRFpB1dOccs870i" TargetMode="External"/><Relationship Id="rId583" Type="http://schemas.openxmlformats.org/officeDocument/2006/relationships/hyperlink" Target="https://drive.google.com/open?id=13tuV7uWfAl-43aw_uoYSFLALJMCOB5sh" TargetMode="External"/><Relationship Id="rId340" Type="http://schemas.openxmlformats.org/officeDocument/2006/relationships/hyperlink" Target="https://drive.google.com/open?id=1txRfOhGftkT_AXMR-91U9xX0Wt8ZCEMj" TargetMode="External"/><Relationship Id="rId582" Type="http://schemas.openxmlformats.org/officeDocument/2006/relationships/hyperlink" Target="https://drive.google.com/open?id=10D62Ip0XNPbCP25f2XXUZeewi6OR01Nt" TargetMode="External"/><Relationship Id="rId581" Type="http://schemas.openxmlformats.org/officeDocument/2006/relationships/hyperlink" Target="https://drive.google.com/open?id=18YGtDLopn69FMt7j45dG4hjvUFc2Lfsc" TargetMode="External"/><Relationship Id="rId580" Type="http://schemas.openxmlformats.org/officeDocument/2006/relationships/hyperlink" Target="https://drive.google.com/open?id=1T4OVKlFu52sDBYrXYXx0U9o9cdTOfL6E" TargetMode="External"/><Relationship Id="rId103" Type="http://schemas.openxmlformats.org/officeDocument/2006/relationships/hyperlink" Target="https://drive.google.com/open?id=1UvhRhm3a4YYPfSOISVLrCzA2tdDKTD-m" TargetMode="External"/><Relationship Id="rId345" Type="http://schemas.openxmlformats.org/officeDocument/2006/relationships/hyperlink" Target="https://drive.google.com/open?id=1cmcnlxBmtxENY3V-yBDI1v--ZV40VrmL" TargetMode="External"/><Relationship Id="rId587" Type="http://schemas.openxmlformats.org/officeDocument/2006/relationships/hyperlink" Target="https://drive.google.com/open?id=1kCDDI7M92M0aGNb7y_FDToUNYnJAsLDJ" TargetMode="External"/><Relationship Id="rId102" Type="http://schemas.openxmlformats.org/officeDocument/2006/relationships/hyperlink" Target="https://drive.google.com/open?id=1kIgMuWBIYGD2FaP2k5DNFw2P3UFggCyl" TargetMode="External"/><Relationship Id="rId344" Type="http://schemas.openxmlformats.org/officeDocument/2006/relationships/hyperlink" Target="https://drive.google.com/open?id=1QuOS4fhRCD9X8D-C1Nd6NUK4ldRlq3Tl" TargetMode="External"/><Relationship Id="rId586" Type="http://schemas.openxmlformats.org/officeDocument/2006/relationships/hyperlink" Target="https://drive.google.com/open?id=1RalRWxWagiSSii4YAHLGq9PlB6UpNb8E" TargetMode="External"/><Relationship Id="rId101" Type="http://schemas.openxmlformats.org/officeDocument/2006/relationships/hyperlink" Target="https://drive.google.com/open?id=1p5NPQ83wH3nQWxjwswQ6AMCMSyJ9-Q22" TargetMode="External"/><Relationship Id="rId343" Type="http://schemas.openxmlformats.org/officeDocument/2006/relationships/hyperlink" Target="https://drive.google.com/open?id=1MTYlMs3GmipZosYx6GWFFVRMNXdwaHKD" TargetMode="External"/><Relationship Id="rId585" Type="http://schemas.openxmlformats.org/officeDocument/2006/relationships/hyperlink" Target="https://drive.google.com/open?id=1DPFQaCReXUTb2oF8p6Jav28IzJC6zvwK" TargetMode="External"/><Relationship Id="rId100" Type="http://schemas.openxmlformats.org/officeDocument/2006/relationships/hyperlink" Target="https://drive.google.com/open?id=1NCo18tzgU7dMAlvg-_8PtBXIJ9wIMxF4" TargetMode="External"/><Relationship Id="rId342" Type="http://schemas.openxmlformats.org/officeDocument/2006/relationships/hyperlink" Target="https://drive.google.com/open?id=1TAbKJOjkPrh_vxNpZ-_7cSTNIMT4SWTK" TargetMode="External"/><Relationship Id="rId584" Type="http://schemas.openxmlformats.org/officeDocument/2006/relationships/hyperlink" Target="https://drive.google.com/open?id=1-DSenWUBBNOePErhk3iRkhv4mVIagVz5" TargetMode="External"/><Relationship Id="rId338" Type="http://schemas.openxmlformats.org/officeDocument/2006/relationships/hyperlink" Target="https://drive.google.com/open?id=1iyL_bLjQXM1WPnDM_aOLiHdckKWR6T5J" TargetMode="External"/><Relationship Id="rId337" Type="http://schemas.openxmlformats.org/officeDocument/2006/relationships/hyperlink" Target="https://drive.google.com/open?id=14NhvgUC7T_EYqphxgH53YnNepvahw0dM" TargetMode="External"/><Relationship Id="rId579" Type="http://schemas.openxmlformats.org/officeDocument/2006/relationships/hyperlink" Target="https://drive.google.com/open?id=1xNrhw3aQLXMBq18qxgD8MKxyAZINlGhv" TargetMode="External"/><Relationship Id="rId336" Type="http://schemas.openxmlformats.org/officeDocument/2006/relationships/hyperlink" Target="https://drive.google.com/open?id=1nqX63gEGAxiWdVP8nI_fckGWUdIGSdnZ" TargetMode="External"/><Relationship Id="rId578" Type="http://schemas.openxmlformats.org/officeDocument/2006/relationships/hyperlink" Target="https://drive.google.com/open?id=1WiF1G9rRcSIX5cj0HZitvhtDpYoxAUIo" TargetMode="External"/><Relationship Id="rId335" Type="http://schemas.openxmlformats.org/officeDocument/2006/relationships/hyperlink" Target="https://drive.google.com/open?id=183u35J4NvZLqa-kljkDwzL2-I1V28sp4" TargetMode="External"/><Relationship Id="rId577" Type="http://schemas.openxmlformats.org/officeDocument/2006/relationships/hyperlink" Target="https://drive.google.com/open?id=1MS4o1FddG-xVrFW_4t21xWC_Zju6QkJk" TargetMode="External"/><Relationship Id="rId339" Type="http://schemas.openxmlformats.org/officeDocument/2006/relationships/hyperlink" Target="https://drive.google.com/open?id=1f3KZf25_8PZxkVAtnnoSyqEOcm9Ochn8" TargetMode="External"/><Relationship Id="rId330" Type="http://schemas.openxmlformats.org/officeDocument/2006/relationships/hyperlink" Target="https://drive.google.com/open?id=1j0_0iRtsoMCYgDytQa3t6KxLz6Cfe1Na" TargetMode="External"/><Relationship Id="rId572" Type="http://schemas.openxmlformats.org/officeDocument/2006/relationships/hyperlink" Target="https://drive.google.com/open?id=1KMTPFF_961oYdPFcjOynWSzI8_ZAWhEn" TargetMode="External"/><Relationship Id="rId571" Type="http://schemas.openxmlformats.org/officeDocument/2006/relationships/hyperlink" Target="https://drive.google.com/open?id=1PK8Gkl5TEvcL_-h-FnyF1h_xp0cBsHmB" TargetMode="External"/><Relationship Id="rId570" Type="http://schemas.openxmlformats.org/officeDocument/2006/relationships/hyperlink" Target="https://drive.google.com/open?id=1xKUVyoRLudXmmqewF-1whIFa_xGW9ng8" TargetMode="External"/><Relationship Id="rId334" Type="http://schemas.openxmlformats.org/officeDocument/2006/relationships/hyperlink" Target="https://drive.google.com/open?id=1Cmoag0Y-Ur9VOTYlQzr9V3P5a1ekImiL" TargetMode="External"/><Relationship Id="rId576" Type="http://schemas.openxmlformats.org/officeDocument/2006/relationships/hyperlink" Target="https://drive.google.com/open?id=11tAIm6GPO-4DxL5N4AN9RDjguyHw4gZK" TargetMode="External"/><Relationship Id="rId333" Type="http://schemas.openxmlformats.org/officeDocument/2006/relationships/hyperlink" Target="https://drive.google.com/open?id=18TOoPvs0MrMrklZlBNke3rsSMWpSFyax" TargetMode="External"/><Relationship Id="rId575" Type="http://schemas.openxmlformats.org/officeDocument/2006/relationships/hyperlink" Target="https://drive.google.com/open?id=1CUyhDOC7bpCTtXTdWpkpB7ctMS3RBuOX" TargetMode="External"/><Relationship Id="rId332" Type="http://schemas.openxmlformats.org/officeDocument/2006/relationships/hyperlink" Target="https://drive.google.com/open?id=1MESM3X45oeOJ8ON-UA997FTysLLn04U0" TargetMode="External"/><Relationship Id="rId574" Type="http://schemas.openxmlformats.org/officeDocument/2006/relationships/hyperlink" Target="https://drive.google.com/open?id=181CSDkcbBEi5-qaIPfCWKxuGCw31ifm7" TargetMode="External"/><Relationship Id="rId331" Type="http://schemas.openxmlformats.org/officeDocument/2006/relationships/hyperlink" Target="https://drive.google.com/open?id=1uFqSUcDCLOh5-oi67hRwmVVxN5XZ7mRO" TargetMode="External"/><Relationship Id="rId573" Type="http://schemas.openxmlformats.org/officeDocument/2006/relationships/hyperlink" Target="https://drive.google.com/open?id=1oOeLP5SG--kXpbDmHz1RW6KBlhBrXvVu" TargetMode="External"/><Relationship Id="rId370" Type="http://schemas.openxmlformats.org/officeDocument/2006/relationships/hyperlink" Target="https://drive.google.com/open?id=1YyVmSCWJU51I9iPDVeU2hNXd6L1JftWA" TargetMode="External"/><Relationship Id="rId129" Type="http://schemas.openxmlformats.org/officeDocument/2006/relationships/hyperlink" Target="https://drive.google.com/open?id=16xBqMqG17sjxjoik9vlMG0oDS6G2jMv4" TargetMode="External"/><Relationship Id="rId128" Type="http://schemas.openxmlformats.org/officeDocument/2006/relationships/hyperlink" Target="https://drive.google.com/open?id=1OSNsGipjSMaMpT6P3lopSs3xzYtPznqZ" TargetMode="External"/><Relationship Id="rId127" Type="http://schemas.openxmlformats.org/officeDocument/2006/relationships/hyperlink" Target="https://drive.google.com/open?id=16U6NyI-v15wht54FBPf_M1PAetFi4fXh" TargetMode="External"/><Relationship Id="rId369" Type="http://schemas.openxmlformats.org/officeDocument/2006/relationships/hyperlink" Target="https://drive.google.com/open?id=1c73j7W5SUff25lbIaS5XdKv9_hs8JLAd" TargetMode="External"/><Relationship Id="rId126" Type="http://schemas.openxmlformats.org/officeDocument/2006/relationships/hyperlink" Target="https://drive.google.com/open?id=1UodWyzc6UhpKOXEyKe_eMr6rpfxw_Pwi" TargetMode="External"/><Relationship Id="rId368" Type="http://schemas.openxmlformats.org/officeDocument/2006/relationships/hyperlink" Target="https://drive.google.com/open?id=1XVyLD72oNv9N61aOJa41exxawoUf_qPf" TargetMode="External"/><Relationship Id="rId121" Type="http://schemas.openxmlformats.org/officeDocument/2006/relationships/hyperlink" Target="https://drive.google.com/open?id=17ckb5DIF5VwC3VPntQ2sJBkgMdMXVjKl" TargetMode="External"/><Relationship Id="rId363" Type="http://schemas.openxmlformats.org/officeDocument/2006/relationships/hyperlink" Target="https://drive.google.com/open?id=1VgQe239OPHHWTwd9j5-FeMpQKn-gSOAV" TargetMode="External"/><Relationship Id="rId120" Type="http://schemas.openxmlformats.org/officeDocument/2006/relationships/hyperlink" Target="https://drive.google.com/open?id=12DlQ2a7OEvISY7BH-qL-w7k3Yh_iWi6D" TargetMode="External"/><Relationship Id="rId362" Type="http://schemas.openxmlformats.org/officeDocument/2006/relationships/hyperlink" Target="https://drive.google.com/open?id=1rikBbU5nYbXwrrGhWmJ4hPcJf1R3TnfF" TargetMode="External"/><Relationship Id="rId361" Type="http://schemas.openxmlformats.org/officeDocument/2006/relationships/hyperlink" Target="https://drive.google.com/open?id=1yvG_Il5zM68pDKIsKaf9WhClZfmBjXXZ" TargetMode="External"/><Relationship Id="rId360" Type="http://schemas.openxmlformats.org/officeDocument/2006/relationships/hyperlink" Target="https://drive.google.com/open?id=1OcFUj9Tp8FpCOpyJ7XyVE7l09rpE2bO_" TargetMode="External"/><Relationship Id="rId125" Type="http://schemas.openxmlformats.org/officeDocument/2006/relationships/hyperlink" Target="https://drive.google.com/open?id=1f_SVntkSwYGcSbkXyLkfu3ZNoxQo1wpM" TargetMode="External"/><Relationship Id="rId367" Type="http://schemas.openxmlformats.org/officeDocument/2006/relationships/hyperlink" Target="https://drive.google.com/open?id=1rm1syms9OyA3WVK-EXHBNC-vDBscdHTv" TargetMode="External"/><Relationship Id="rId124" Type="http://schemas.openxmlformats.org/officeDocument/2006/relationships/hyperlink" Target="https://drive.google.com/open?id=1eGGDPXpLfXnwWmMCQtzRB_NOs9SeUBZ-" TargetMode="External"/><Relationship Id="rId366" Type="http://schemas.openxmlformats.org/officeDocument/2006/relationships/hyperlink" Target="https://drive.google.com/open?id=1C8O-MquPofYw2X8mLt4D8XAC35GJUzT7" TargetMode="External"/><Relationship Id="rId123" Type="http://schemas.openxmlformats.org/officeDocument/2006/relationships/hyperlink" Target="https://drive.google.com/open?id=1W-ejAyWKgUzZAZ-VMskbWyCUFJsFOQTr" TargetMode="External"/><Relationship Id="rId365" Type="http://schemas.openxmlformats.org/officeDocument/2006/relationships/hyperlink" Target="https://drive.google.com/open?id=1EQublzc7LBgMdzbtbQUVrZdsy83NVlTq" TargetMode="External"/><Relationship Id="rId122" Type="http://schemas.openxmlformats.org/officeDocument/2006/relationships/hyperlink" Target="https://drive.google.com/open?id=13yfzRHYVwjhiFO0xyLyLVudk-l5R9reK" TargetMode="External"/><Relationship Id="rId364" Type="http://schemas.openxmlformats.org/officeDocument/2006/relationships/hyperlink" Target="https://drive.google.com/open?id=1CR08cWZQYxeSHyboBYdjGODVnq-0dj9d" TargetMode="External"/><Relationship Id="rId95" Type="http://schemas.openxmlformats.org/officeDocument/2006/relationships/hyperlink" Target="https://drive.google.com/open?id=1W-tstGIbEeSbnzb453LtfJfTuEpbdzY0" TargetMode="External"/><Relationship Id="rId94" Type="http://schemas.openxmlformats.org/officeDocument/2006/relationships/hyperlink" Target="https://drive.google.com/open?id=1lEfR19WuOKrsMecn797T3GVD4f-3zyRz" TargetMode="External"/><Relationship Id="rId97" Type="http://schemas.openxmlformats.org/officeDocument/2006/relationships/hyperlink" Target="https://drive.google.com/open?id=1lHVsDHWP5EsZnNhfSn-l2LLMOlwhIh9B" TargetMode="External"/><Relationship Id="rId96" Type="http://schemas.openxmlformats.org/officeDocument/2006/relationships/hyperlink" Target="https://drive.google.com/open?id=1SU9hnyve91ubwMLoUZemARU92LctEePD" TargetMode="External"/><Relationship Id="rId99" Type="http://schemas.openxmlformats.org/officeDocument/2006/relationships/hyperlink" Target="https://drive.google.com/open?id=1trOpM8KfN-i2s1mguF84SGOMmAa43Esg" TargetMode="External"/><Relationship Id="rId98" Type="http://schemas.openxmlformats.org/officeDocument/2006/relationships/hyperlink" Target="https://drive.google.com/open?id=1KLQh8OOHMdsUKPtdC1qkq33E8JIWEw9t" TargetMode="External"/><Relationship Id="rId91" Type="http://schemas.openxmlformats.org/officeDocument/2006/relationships/hyperlink" Target="https://drive.google.com/open?id=1bgoXNNvEhVUrXPN4JXpNG22m5c0Vsueu" TargetMode="External"/><Relationship Id="rId90" Type="http://schemas.openxmlformats.org/officeDocument/2006/relationships/hyperlink" Target="https://drive.google.com/open?id=1u9KDnHadq3oKrAfIt4AOPRUvJof8y3Nw" TargetMode="External"/><Relationship Id="rId93" Type="http://schemas.openxmlformats.org/officeDocument/2006/relationships/hyperlink" Target="https://drive.google.com/open?id=11Nn5pWSfXAs0bEKQyU07oI83GpcudPPc" TargetMode="External"/><Relationship Id="rId92" Type="http://schemas.openxmlformats.org/officeDocument/2006/relationships/hyperlink" Target="https://drive.google.com/open?id=1XNWk20nFEkpGUlOUabbNQrGD5R36xMCy" TargetMode="External"/><Relationship Id="rId118" Type="http://schemas.openxmlformats.org/officeDocument/2006/relationships/hyperlink" Target="https://drive.google.com/open?id=1lhpKo6sbA3MbByKHX68YDaCVIxZbksVM" TargetMode="External"/><Relationship Id="rId117" Type="http://schemas.openxmlformats.org/officeDocument/2006/relationships/hyperlink" Target="https://drive.google.com/open?id=1x7bW647GnBi2HQPcYQqYNzTaLsbxnPtF" TargetMode="External"/><Relationship Id="rId359" Type="http://schemas.openxmlformats.org/officeDocument/2006/relationships/hyperlink" Target="https://drive.google.com/open?id=1xEP_7S1ImS1zWcVWFGkepdsV5YOcuxyL" TargetMode="External"/><Relationship Id="rId116" Type="http://schemas.openxmlformats.org/officeDocument/2006/relationships/hyperlink" Target="https://drive.google.com/open?id=1oAYcxi6_D4Eatv8udLhArQIbN1WjM9uB" TargetMode="External"/><Relationship Id="rId358" Type="http://schemas.openxmlformats.org/officeDocument/2006/relationships/hyperlink" Target="https://drive.google.com/open?id=1Hhde8xHloqtzLv-0W-MnEiggV4-hWMjJ" TargetMode="External"/><Relationship Id="rId115" Type="http://schemas.openxmlformats.org/officeDocument/2006/relationships/hyperlink" Target="https://drive.google.com/open?id=138TIiWGH0zMcdC7bXJJRquOKzDV657jJ" TargetMode="External"/><Relationship Id="rId357" Type="http://schemas.openxmlformats.org/officeDocument/2006/relationships/hyperlink" Target="https://drive.google.com/open?id=14nVOaG8Wf-Mdhlz_c6PIVJv0GCdI8ZF8" TargetMode="External"/><Relationship Id="rId599" Type="http://schemas.openxmlformats.org/officeDocument/2006/relationships/hyperlink" Target="https://drive.google.com/open?id=1_yrbjzUyYaddazZBWWFzChKSRehLaJ1o" TargetMode="External"/><Relationship Id="rId119" Type="http://schemas.openxmlformats.org/officeDocument/2006/relationships/hyperlink" Target="https://drive.google.com/open?id=1CkfzqYXEFqvipkwGvUGGpovAA6Tp2vZe" TargetMode="External"/><Relationship Id="rId110" Type="http://schemas.openxmlformats.org/officeDocument/2006/relationships/hyperlink" Target="https://drive.google.com/open?id=18zIwk_TNW7-xeqOhZ0fKo5cF6t3R0Fvj" TargetMode="External"/><Relationship Id="rId352" Type="http://schemas.openxmlformats.org/officeDocument/2006/relationships/hyperlink" Target="https://drive.google.com/open?id=1qd2Nhy04_2h1g1VAZS_W8DigSUMvr7N_" TargetMode="External"/><Relationship Id="rId594" Type="http://schemas.openxmlformats.org/officeDocument/2006/relationships/hyperlink" Target="https://drive.google.com/open?id=1ka8BOabeuehA2UE6O00jqzgiwTTl-lzo" TargetMode="External"/><Relationship Id="rId351" Type="http://schemas.openxmlformats.org/officeDocument/2006/relationships/hyperlink" Target="https://drive.google.com/open?id=1SAaDbBV2DepEeFtmvhgHFzQpKoGux3T-" TargetMode="External"/><Relationship Id="rId593" Type="http://schemas.openxmlformats.org/officeDocument/2006/relationships/hyperlink" Target="https://drive.google.com/open?id=15Ym6WhmBmZXBzEecSl5LNwuSJwD8mCYa" TargetMode="External"/><Relationship Id="rId350" Type="http://schemas.openxmlformats.org/officeDocument/2006/relationships/hyperlink" Target="https://drive.google.com/open?id=1m097LVQG6F4nO2MT2IaY4SNa_KfiFy5_" TargetMode="External"/><Relationship Id="rId592" Type="http://schemas.openxmlformats.org/officeDocument/2006/relationships/hyperlink" Target="https://drive.google.com/open?id=1U9aqtCx8JXVLrZFTsGNXpCYRC93Q6CaN" TargetMode="External"/><Relationship Id="rId591" Type="http://schemas.openxmlformats.org/officeDocument/2006/relationships/hyperlink" Target="https://drive.google.com/open?id=1vXVt9s-qhhJOK5FZx9yWbmZ0vV_Fux58" TargetMode="External"/><Relationship Id="rId114" Type="http://schemas.openxmlformats.org/officeDocument/2006/relationships/hyperlink" Target="https://drive.google.com/open?id=1daU6twRF75vMguIfPJWXcptez0_crZcg" TargetMode="External"/><Relationship Id="rId356" Type="http://schemas.openxmlformats.org/officeDocument/2006/relationships/hyperlink" Target="https://drive.google.com/open?id=1Gp9bTdevxY54eo8x7_jQJKDbod84SfIm" TargetMode="External"/><Relationship Id="rId598" Type="http://schemas.openxmlformats.org/officeDocument/2006/relationships/hyperlink" Target="https://drive.google.com/open?id=1oddKWmqV-XxzHPf7Qergzh36UjWLRW28" TargetMode="External"/><Relationship Id="rId113" Type="http://schemas.openxmlformats.org/officeDocument/2006/relationships/hyperlink" Target="https://drive.google.com/open?id=18FPI3y85s4T8sjTJfq3NTEfTClUdoAv2" TargetMode="External"/><Relationship Id="rId355" Type="http://schemas.openxmlformats.org/officeDocument/2006/relationships/hyperlink" Target="https://drive.google.com/open?id=1KgYOaGUkbeDmFndABdxNOWxNgG8G6d7R" TargetMode="External"/><Relationship Id="rId597" Type="http://schemas.openxmlformats.org/officeDocument/2006/relationships/hyperlink" Target="https://drive.google.com/open?id=15ls9NfCTiYVSixpgyV_lCr1g7IIERCC9" TargetMode="External"/><Relationship Id="rId112" Type="http://schemas.openxmlformats.org/officeDocument/2006/relationships/hyperlink" Target="https://drive.google.com/open?id=1Q5fHAFARB8bSfjDJVuGnrGya7X7xvUb-" TargetMode="External"/><Relationship Id="rId354" Type="http://schemas.openxmlformats.org/officeDocument/2006/relationships/hyperlink" Target="https://drive.google.com/open?id=1zcHwzMPJYbga1BCJk72a9Vr9P_WWULIy" TargetMode="External"/><Relationship Id="rId596" Type="http://schemas.openxmlformats.org/officeDocument/2006/relationships/hyperlink" Target="https://drive.google.com/open?id=16-p6i_FKzbJLH3pi-sV_RJfG8vbQp466" TargetMode="External"/><Relationship Id="rId111" Type="http://schemas.openxmlformats.org/officeDocument/2006/relationships/hyperlink" Target="https://drive.google.com/open?id=1-brV3os7kzsupGug6mC9Ympi42psBX49" TargetMode="External"/><Relationship Id="rId353" Type="http://schemas.openxmlformats.org/officeDocument/2006/relationships/hyperlink" Target="https://drive.google.com/open?id=1wkD-UWKYgrYhkKQPQ9K42qVUdTgUPU_w" TargetMode="External"/><Relationship Id="rId595" Type="http://schemas.openxmlformats.org/officeDocument/2006/relationships/hyperlink" Target="https://drive.google.com/open?id=1rHxtUQ6RlnhxEhoChyM0rpszwpPypBYp" TargetMode="External"/><Relationship Id="rId305" Type="http://schemas.openxmlformats.org/officeDocument/2006/relationships/hyperlink" Target="https://drive.google.com/open?id=1j-QWnt6xItaqPUpQyyDHyvh--4-LrcYy" TargetMode="External"/><Relationship Id="rId547" Type="http://schemas.openxmlformats.org/officeDocument/2006/relationships/hyperlink" Target="https://drive.google.com/open?id=146OykjPRTVNufffRGooJHhrm0X01aBlo" TargetMode="External"/><Relationship Id="rId789" Type="http://schemas.openxmlformats.org/officeDocument/2006/relationships/hyperlink" Target="https://drive.google.com/open?id=1B2SV0ODwOYNDnN5GZsqtLAyqH6yWnJ-V" TargetMode="External"/><Relationship Id="rId304" Type="http://schemas.openxmlformats.org/officeDocument/2006/relationships/hyperlink" Target="https://drive.google.com/open?id=11R4PNwv-irrEsEPYAqs5Eq34R6xv3IhM" TargetMode="External"/><Relationship Id="rId546" Type="http://schemas.openxmlformats.org/officeDocument/2006/relationships/hyperlink" Target="https://drive.google.com/open?id=1GnQzfZ9KrMAZkT1xo1SZanJBYLvwG3xf" TargetMode="External"/><Relationship Id="rId788" Type="http://schemas.openxmlformats.org/officeDocument/2006/relationships/hyperlink" Target="https://drive.google.com/open?id=1kjQgKHpecAb-9Mkq_AGllfsqk18zBkiK" TargetMode="External"/><Relationship Id="rId303" Type="http://schemas.openxmlformats.org/officeDocument/2006/relationships/hyperlink" Target="https://drive.google.com/open?id=17o1q6Weg7MK-2RjfeUK0AgsNiHjyHewY" TargetMode="External"/><Relationship Id="rId545" Type="http://schemas.openxmlformats.org/officeDocument/2006/relationships/hyperlink" Target="https://drive.google.com/open?id=1UjmU3xILJkZJZG_ia8qUsCOP6Aozuaxz" TargetMode="External"/><Relationship Id="rId787" Type="http://schemas.openxmlformats.org/officeDocument/2006/relationships/hyperlink" Target="https://drive.google.com/open?id=1PyEl-b1seNJ22KGKLfm8vYa6xLFNbRNt" TargetMode="External"/><Relationship Id="rId302" Type="http://schemas.openxmlformats.org/officeDocument/2006/relationships/hyperlink" Target="https://drive.google.com/open?id=1T01dB_Qa6_K4fAkRnhp7OxCaWKQYQ_y5" TargetMode="External"/><Relationship Id="rId544" Type="http://schemas.openxmlformats.org/officeDocument/2006/relationships/hyperlink" Target="https://drive.google.com/open?id=1-_RSURHlOhLR5w0NLzFW_gNWLw8_J83l" TargetMode="External"/><Relationship Id="rId786" Type="http://schemas.openxmlformats.org/officeDocument/2006/relationships/hyperlink" Target="https://drive.google.com/open?id=12q8CtOztMxFOq8t8gGlydSVJyIwJDPMR" TargetMode="External"/><Relationship Id="rId309" Type="http://schemas.openxmlformats.org/officeDocument/2006/relationships/hyperlink" Target="https://drive.google.com/open?id=1tGeWKr4PrW4H4rofz2Aw2wWaxuSUFQzU" TargetMode="External"/><Relationship Id="rId308" Type="http://schemas.openxmlformats.org/officeDocument/2006/relationships/hyperlink" Target="https://drive.google.com/open?id=1wWRn7uHY7VEd6xX_m8ppqTX1hmXLMswN" TargetMode="External"/><Relationship Id="rId307" Type="http://schemas.openxmlformats.org/officeDocument/2006/relationships/hyperlink" Target="https://drive.google.com/open?id=1G_SqeueCQQSWLcFtrbS_la0ESJip8pNf" TargetMode="External"/><Relationship Id="rId549" Type="http://schemas.openxmlformats.org/officeDocument/2006/relationships/hyperlink" Target="https://drive.google.com/open?id=18r37CPr2Yel_3I9CpNslZbuka2EAIllz" TargetMode="External"/><Relationship Id="rId306" Type="http://schemas.openxmlformats.org/officeDocument/2006/relationships/hyperlink" Target="https://drive.google.com/open?id=1ltj3GBUQmxRXH6OP0rHSnEDYw-_WW4yL" TargetMode="External"/><Relationship Id="rId548" Type="http://schemas.openxmlformats.org/officeDocument/2006/relationships/hyperlink" Target="https://drive.google.com/open?id=15c8HLxliT01INi0W7RXT-6_MKLu61VgI" TargetMode="External"/><Relationship Id="rId781" Type="http://schemas.openxmlformats.org/officeDocument/2006/relationships/hyperlink" Target="https://drive.google.com/open?id=1y8XU7P_QSfdN1Kk_bDpLuPbBqG8Cjpw1" TargetMode="External"/><Relationship Id="rId780" Type="http://schemas.openxmlformats.org/officeDocument/2006/relationships/hyperlink" Target="https://drive.google.com/open?id=1Oe9egytpt2_KMG-ZU3GOaeoZTafBNQ2I" TargetMode="External"/><Relationship Id="rId301" Type="http://schemas.openxmlformats.org/officeDocument/2006/relationships/hyperlink" Target="https://drive.google.com/open?id=1tuvzV-7rglTeUEvf5-J1OjiRRC22Ze4q" TargetMode="External"/><Relationship Id="rId543" Type="http://schemas.openxmlformats.org/officeDocument/2006/relationships/hyperlink" Target="https://drive.google.com/open?id=1sJ9rgh0-wHRmhfp-rsMH0VySwsYHaadQ" TargetMode="External"/><Relationship Id="rId785" Type="http://schemas.openxmlformats.org/officeDocument/2006/relationships/hyperlink" Target="https://drive.google.com/open?id=19rHnz1yHkTXhmCkQVFAiHe-Y0qrDDrJX" TargetMode="External"/><Relationship Id="rId300" Type="http://schemas.openxmlformats.org/officeDocument/2006/relationships/hyperlink" Target="https://drive.google.com/open?id=1_jcXSInpElHb1fS4ttHRQrYGFCqtiKiE" TargetMode="External"/><Relationship Id="rId542" Type="http://schemas.openxmlformats.org/officeDocument/2006/relationships/hyperlink" Target="https://drive.google.com/open?id=1iHv9OvWmtLF18D9vFJLY0UKiIYimNeRN" TargetMode="External"/><Relationship Id="rId784" Type="http://schemas.openxmlformats.org/officeDocument/2006/relationships/hyperlink" Target="https://drive.google.com/open?id=1rqFeNTVmNhl3YfoIsyaWlbOSJE7t9PB4" TargetMode="External"/><Relationship Id="rId541" Type="http://schemas.openxmlformats.org/officeDocument/2006/relationships/hyperlink" Target="https://drive.google.com/open?id=14Nil7C_48jvprgSz-uGReueLnh62CTjL" TargetMode="External"/><Relationship Id="rId783" Type="http://schemas.openxmlformats.org/officeDocument/2006/relationships/hyperlink" Target="https://drive.google.com/open?id=19Qv45iW4y_FvVeZ5caPfXKI02X3aZTfz" TargetMode="External"/><Relationship Id="rId540" Type="http://schemas.openxmlformats.org/officeDocument/2006/relationships/hyperlink" Target="https://drive.google.com/open?id=1jLHBcETYUYLRW_KSzxooX1_gTLnMOb_x" TargetMode="External"/><Relationship Id="rId782" Type="http://schemas.openxmlformats.org/officeDocument/2006/relationships/hyperlink" Target="https://drive.google.com/open?id=1a4nqstYDWENsfhSuXFIJDFG01BXnOU6Z" TargetMode="External"/><Relationship Id="rId536" Type="http://schemas.openxmlformats.org/officeDocument/2006/relationships/hyperlink" Target="https://drive.google.com/open?id=1vOUXe8a8H-gTnlMIs2hencaVCLD5rq7n" TargetMode="External"/><Relationship Id="rId778" Type="http://schemas.openxmlformats.org/officeDocument/2006/relationships/hyperlink" Target="https://drive.google.com/open?id=1otstqmBjZnGHu_W3CSxtI8eZgxU-ZE5g" TargetMode="External"/><Relationship Id="rId535" Type="http://schemas.openxmlformats.org/officeDocument/2006/relationships/hyperlink" Target="https://drive.google.com/open?id=1QVIJ5RM4kzYlN81w2NvzExq4oY38ud9Z" TargetMode="External"/><Relationship Id="rId777" Type="http://schemas.openxmlformats.org/officeDocument/2006/relationships/hyperlink" Target="https://drive.google.com/open?id=1_LPPctpW-kmi1Uf7stRiImC-Fu4HQJEI" TargetMode="External"/><Relationship Id="rId534" Type="http://schemas.openxmlformats.org/officeDocument/2006/relationships/hyperlink" Target="https://drive.google.com/open?id=11hOp3PEsH4wt6DeLb0eprWJclFkdk97G" TargetMode="External"/><Relationship Id="rId776" Type="http://schemas.openxmlformats.org/officeDocument/2006/relationships/hyperlink" Target="https://drive.google.com/open?id=1CVmglxUFVm3J5nQTjjuMYubE0y1b26le" TargetMode="External"/><Relationship Id="rId533" Type="http://schemas.openxmlformats.org/officeDocument/2006/relationships/hyperlink" Target="https://drive.google.com/open?id=1P-waVoCUtsRH10WCbsEQuuSdmeQa286Y" TargetMode="External"/><Relationship Id="rId775" Type="http://schemas.openxmlformats.org/officeDocument/2006/relationships/hyperlink" Target="https://drive.google.com/open?id=1cpbmuCSLFRykqTsmp5s13AUjosE505wq" TargetMode="External"/><Relationship Id="rId539" Type="http://schemas.openxmlformats.org/officeDocument/2006/relationships/hyperlink" Target="https://drive.google.com/open?id=1EcGqp8pcbO_97mT74Dbfanouf7J942OF" TargetMode="External"/><Relationship Id="rId538" Type="http://schemas.openxmlformats.org/officeDocument/2006/relationships/hyperlink" Target="https://drive.google.com/open?id=1SHX8-b1kCiHHzx6smEk6fSI3w3mQVEyq" TargetMode="External"/><Relationship Id="rId537" Type="http://schemas.openxmlformats.org/officeDocument/2006/relationships/hyperlink" Target="https://drive.google.com/open?id=1mk8bUE5oPhfoQhkzBmdZG8QDk3L0ia_x" TargetMode="External"/><Relationship Id="rId779" Type="http://schemas.openxmlformats.org/officeDocument/2006/relationships/hyperlink" Target="https://drive.google.com/open?id=1k57EEx664d8-_CQFRQO27ksnpjvmj7pc" TargetMode="External"/><Relationship Id="rId770" Type="http://schemas.openxmlformats.org/officeDocument/2006/relationships/hyperlink" Target="https://drive.google.com/open?id=1tXEnoa8xL7YFcImN5obWPQm2CVyWU6NW" TargetMode="External"/><Relationship Id="rId532" Type="http://schemas.openxmlformats.org/officeDocument/2006/relationships/hyperlink" Target="https://drive.google.com/open?id=1omrhKyIFBNKWsZ9SiGeYnHlX4cUEovhB" TargetMode="External"/><Relationship Id="rId774" Type="http://schemas.openxmlformats.org/officeDocument/2006/relationships/hyperlink" Target="https://drive.google.com/open?id=1hyxv6gS4OtgMCMokwVMgo5EYUTWVspxK" TargetMode="External"/><Relationship Id="rId531" Type="http://schemas.openxmlformats.org/officeDocument/2006/relationships/hyperlink" Target="https://drive.google.com/open?id=1lWw7kEUHID-ctw6VNqc4rcrFSKdPDqzN" TargetMode="External"/><Relationship Id="rId773" Type="http://schemas.openxmlformats.org/officeDocument/2006/relationships/hyperlink" Target="https://drive.google.com/open?id=1NV6bHKgSeMW6DGjnZSmFTm47JDRUg5oX" TargetMode="External"/><Relationship Id="rId530" Type="http://schemas.openxmlformats.org/officeDocument/2006/relationships/hyperlink" Target="https://drive.google.com/open?id=1bMg7TeNKjZGKGbDVet6j66bbSVALAGaS" TargetMode="External"/><Relationship Id="rId772" Type="http://schemas.openxmlformats.org/officeDocument/2006/relationships/hyperlink" Target="https://drive.google.com/open?id=1L9lIzfv9CYTcYUaYQml7_SUvbUNyGgWP" TargetMode="External"/><Relationship Id="rId771" Type="http://schemas.openxmlformats.org/officeDocument/2006/relationships/hyperlink" Target="https://drive.google.com/open?id=1U9Gg-jZjQRGOrl7bcxMpVqGf01oFWyoq" TargetMode="External"/><Relationship Id="rId327" Type="http://schemas.openxmlformats.org/officeDocument/2006/relationships/hyperlink" Target="https://drive.google.com/open?id=1NuLyBuYWXUUuOfg3OGz2dpkrEsEdAHDF" TargetMode="External"/><Relationship Id="rId569" Type="http://schemas.openxmlformats.org/officeDocument/2006/relationships/hyperlink" Target="https://drive.google.com/open?id=1Hp_3rrHH-M-drKeJIXfseKMF7gLXRnKM" TargetMode="External"/><Relationship Id="rId326" Type="http://schemas.openxmlformats.org/officeDocument/2006/relationships/hyperlink" Target="https://drive.google.com/open?id=1DFJ2tLTI8zvv-QezYhfLgJIS2cfSr31W" TargetMode="External"/><Relationship Id="rId568" Type="http://schemas.openxmlformats.org/officeDocument/2006/relationships/hyperlink" Target="https://drive.google.com/open?id=1kErfUkTie-OaKFCSCXWLoi7IL2LLj4ba" TargetMode="External"/><Relationship Id="rId325" Type="http://schemas.openxmlformats.org/officeDocument/2006/relationships/hyperlink" Target="https://drive.google.com/open?id=1Ac8OBtS-9yizxy3oJOUwYguiYAIXQqfx" TargetMode="External"/><Relationship Id="rId567" Type="http://schemas.openxmlformats.org/officeDocument/2006/relationships/hyperlink" Target="https://drive.google.com/open?id=1wxTk2di3qSo5e4UABMu3VGlsIp4JnfUG" TargetMode="External"/><Relationship Id="rId324" Type="http://schemas.openxmlformats.org/officeDocument/2006/relationships/hyperlink" Target="https://drive.google.com/open?id=1aDaFMu1zZX447EQHpJu0s5o0W5oYSAmB" TargetMode="External"/><Relationship Id="rId566" Type="http://schemas.openxmlformats.org/officeDocument/2006/relationships/hyperlink" Target="https://drive.google.com/open?id=1yaE08E6nMaL4qIUeEN3G3AOlUESmkkDt" TargetMode="External"/><Relationship Id="rId329" Type="http://schemas.openxmlformats.org/officeDocument/2006/relationships/hyperlink" Target="https://drive.google.com/open?id=1dcY99RelMhP2eWa3Jf1T312rUK7vh0MB" TargetMode="External"/><Relationship Id="rId328" Type="http://schemas.openxmlformats.org/officeDocument/2006/relationships/hyperlink" Target="https://drive.google.com/open?id=1Wj1lZHrt73zLV-SWlgkDTWvePonGTLqH" TargetMode="External"/><Relationship Id="rId561" Type="http://schemas.openxmlformats.org/officeDocument/2006/relationships/hyperlink" Target="https://drive.google.com/open?id=13Wie3_oU1v1PiX0y6eYDCNdbxDaWoVW7" TargetMode="External"/><Relationship Id="rId560" Type="http://schemas.openxmlformats.org/officeDocument/2006/relationships/hyperlink" Target="https://drive.google.com/open?id=1RZjZVXuCaAGvuBwkL6loA_WV717SbUK7" TargetMode="External"/><Relationship Id="rId323" Type="http://schemas.openxmlformats.org/officeDocument/2006/relationships/hyperlink" Target="https://drive.google.com/open?id=1flSjScIzgvDaFlKnskktkX6PDBTM64ba" TargetMode="External"/><Relationship Id="rId565" Type="http://schemas.openxmlformats.org/officeDocument/2006/relationships/hyperlink" Target="https://drive.google.com/open?id=1SKKyXByZHZePpglPfouYHUGP63dQkUVf" TargetMode="External"/><Relationship Id="rId322" Type="http://schemas.openxmlformats.org/officeDocument/2006/relationships/hyperlink" Target="https://drive.google.com/open?id=1CchLn6B1f2MiH49dM-Lcmwz2rQoB8onC" TargetMode="External"/><Relationship Id="rId564" Type="http://schemas.openxmlformats.org/officeDocument/2006/relationships/hyperlink" Target="https://drive.google.com/open?id=1u0DsCit_zbSbQGVSZ7rtH3CH-afKM6nn" TargetMode="External"/><Relationship Id="rId321" Type="http://schemas.openxmlformats.org/officeDocument/2006/relationships/hyperlink" Target="https://drive.google.com/open?id=1UB9GD86reOnw5bwF4Cg8J5QZzmOJih3W" TargetMode="External"/><Relationship Id="rId563" Type="http://schemas.openxmlformats.org/officeDocument/2006/relationships/hyperlink" Target="https://drive.google.com/open?id=10kRvm8_8g5vJlHHO5roGKSwohR6PoceG" TargetMode="External"/><Relationship Id="rId320" Type="http://schemas.openxmlformats.org/officeDocument/2006/relationships/hyperlink" Target="https://drive.google.com/open?id=1AtdFUxvQGcpxux9oY3xjre0EM46ZYwP6" TargetMode="External"/><Relationship Id="rId562" Type="http://schemas.openxmlformats.org/officeDocument/2006/relationships/hyperlink" Target="https://drive.google.com/open?id=1gvg0A9_ZsVkLdHPnrgHgaW1V7eIGUC0S" TargetMode="External"/><Relationship Id="rId316" Type="http://schemas.openxmlformats.org/officeDocument/2006/relationships/hyperlink" Target="https://drive.google.com/open?id=1DPXMDyw12Z3J_IwIb1kfeQ-AM5dNdKDh" TargetMode="External"/><Relationship Id="rId558" Type="http://schemas.openxmlformats.org/officeDocument/2006/relationships/hyperlink" Target="https://drive.google.com/open?id=1bvpVXv_4k_5YuyGygZSQj-fjhN4JHOHm" TargetMode="External"/><Relationship Id="rId315" Type="http://schemas.openxmlformats.org/officeDocument/2006/relationships/hyperlink" Target="https://drive.google.com/open?id=1dqEEvZjc3-HSxArE3T0TahSmbzFRaNCO" TargetMode="External"/><Relationship Id="rId557" Type="http://schemas.openxmlformats.org/officeDocument/2006/relationships/hyperlink" Target="https://drive.google.com/open?id=1Wck4MlP7nINUSLKN93TVQshS2TvEtqIn" TargetMode="External"/><Relationship Id="rId799" Type="http://schemas.openxmlformats.org/officeDocument/2006/relationships/hyperlink" Target="https://drive.google.com/open?id=1U3lg4f6Rb2PtLMunSdaWQdgT8fJwRujX" TargetMode="External"/><Relationship Id="rId314" Type="http://schemas.openxmlformats.org/officeDocument/2006/relationships/hyperlink" Target="https://drive.google.com/open?id=1w7m5o_pnjHwzIWu66yfCpELwI4ZGYimC" TargetMode="External"/><Relationship Id="rId556" Type="http://schemas.openxmlformats.org/officeDocument/2006/relationships/hyperlink" Target="https://drive.google.com/open?id=1Hlim4AHyfk0H4BweyJmYEoXEMOIfcdWv" TargetMode="External"/><Relationship Id="rId798" Type="http://schemas.openxmlformats.org/officeDocument/2006/relationships/hyperlink" Target="https://drive.google.com/open?id=1J4Ik5NHveAt9_h1MoINdHwQUj8ZyhEEK" TargetMode="External"/><Relationship Id="rId313" Type="http://schemas.openxmlformats.org/officeDocument/2006/relationships/hyperlink" Target="https://drive.google.com/open?id=1zJwDGGMwYsUpRdxiKXCN8Yg8WWKEEv1H" TargetMode="External"/><Relationship Id="rId555" Type="http://schemas.openxmlformats.org/officeDocument/2006/relationships/hyperlink" Target="https://drive.google.com/open?id=11P0ouXCmoOYpOI7JkLsEuBd_CDoFf1LP" TargetMode="External"/><Relationship Id="rId797" Type="http://schemas.openxmlformats.org/officeDocument/2006/relationships/hyperlink" Target="https://drive.google.com/open?id=1NYc7GfBgtfAp8Kg-u2GtEWLygmDW-sNk" TargetMode="External"/><Relationship Id="rId319" Type="http://schemas.openxmlformats.org/officeDocument/2006/relationships/hyperlink" Target="https://drive.google.com/open?id=13_MBfthx0XbQDBGTYBMmHSco9OCIj8CP" TargetMode="External"/><Relationship Id="rId318" Type="http://schemas.openxmlformats.org/officeDocument/2006/relationships/hyperlink" Target="https://drive.google.com/open?id=1b41kFd2xTjAiB9Piym8yuzdCVwxZNrRo" TargetMode="External"/><Relationship Id="rId317" Type="http://schemas.openxmlformats.org/officeDocument/2006/relationships/hyperlink" Target="https://drive.google.com/open?id=1jhGt5AJbIh85O8I8ZEwCevRuhHIW7OTn" TargetMode="External"/><Relationship Id="rId559" Type="http://schemas.openxmlformats.org/officeDocument/2006/relationships/hyperlink" Target="https://drive.google.com/open?id=1OsY2IIcH6ebGnkHjmaEuj4Zs1foaO2XH" TargetMode="External"/><Relationship Id="rId550" Type="http://schemas.openxmlformats.org/officeDocument/2006/relationships/hyperlink" Target="https://drive.google.com/open?id=1qbccAb1fM95sgGRw_Th59baYdTWveasn" TargetMode="External"/><Relationship Id="rId792" Type="http://schemas.openxmlformats.org/officeDocument/2006/relationships/hyperlink" Target="https://drive.google.com/open?id=1P6xBWprIwxXiJze0rePGln_rkJ680dDh" TargetMode="External"/><Relationship Id="rId791" Type="http://schemas.openxmlformats.org/officeDocument/2006/relationships/hyperlink" Target="https://drive.google.com/open?id=19UBoYYzlZvX72aplUM8vFRRVgFbzB_yn" TargetMode="External"/><Relationship Id="rId790" Type="http://schemas.openxmlformats.org/officeDocument/2006/relationships/hyperlink" Target="https://drive.google.com/open?id=1F3FK8xIsgeMNGlyI82rWOy-dVa5Th6T5" TargetMode="External"/><Relationship Id="rId312" Type="http://schemas.openxmlformats.org/officeDocument/2006/relationships/hyperlink" Target="https://drive.google.com/open?id=1TWMBIUG797cL0PgrlF-zmw3o0FG501sc" TargetMode="External"/><Relationship Id="rId554" Type="http://schemas.openxmlformats.org/officeDocument/2006/relationships/hyperlink" Target="https://drive.google.com/open?id=1XnJ9zQiTI9lLIe4rZAneYjAAB0bojO9W" TargetMode="External"/><Relationship Id="rId796" Type="http://schemas.openxmlformats.org/officeDocument/2006/relationships/hyperlink" Target="https://drive.google.com/open?id=117OQkNZTS6w4_fyGm9zxWNRIzeCXhBXP" TargetMode="External"/><Relationship Id="rId311" Type="http://schemas.openxmlformats.org/officeDocument/2006/relationships/hyperlink" Target="https://drive.google.com/open?id=1TitWLm1TwrJ45hee_GKZL3HC02hls_7O" TargetMode="External"/><Relationship Id="rId553" Type="http://schemas.openxmlformats.org/officeDocument/2006/relationships/hyperlink" Target="https://drive.google.com/open?id=1y0oQzl4HHNw8WdJj-KikAYc-RZTTNNhH" TargetMode="External"/><Relationship Id="rId795" Type="http://schemas.openxmlformats.org/officeDocument/2006/relationships/hyperlink" Target="https://drive.google.com/open?id=1J1sm9Mbk91g7fCg7XXa--lOj8x9RlbY5" TargetMode="External"/><Relationship Id="rId310" Type="http://schemas.openxmlformats.org/officeDocument/2006/relationships/hyperlink" Target="https://drive.google.com/open?id=1LyDye81TJygMqdey5FD-0iOKOSolo1fO" TargetMode="External"/><Relationship Id="rId552" Type="http://schemas.openxmlformats.org/officeDocument/2006/relationships/hyperlink" Target="https://drive.google.com/open?id=11mT6gyVOwqNo3Lri4RHfSfbtX0kl7mVh" TargetMode="External"/><Relationship Id="rId794" Type="http://schemas.openxmlformats.org/officeDocument/2006/relationships/hyperlink" Target="https://drive.google.com/open?id=1bYnPhfUz9HqaRaHKku6JM4hlt8-RnS18" TargetMode="External"/><Relationship Id="rId551" Type="http://schemas.openxmlformats.org/officeDocument/2006/relationships/hyperlink" Target="https://drive.google.com/open?id=1DePGBUtgxK86JAM9M7XwKgpCdx7jTrg2" TargetMode="External"/><Relationship Id="rId793" Type="http://schemas.openxmlformats.org/officeDocument/2006/relationships/hyperlink" Target="https://drive.google.com/open?id=1eEwSOvWoah9nbaCBpGwbKSexCA9k8KIj" TargetMode="External"/><Relationship Id="rId297" Type="http://schemas.openxmlformats.org/officeDocument/2006/relationships/hyperlink" Target="https://drive.google.com/open?id=1PYYRB4xtOhQGYAXhv0DAOnhv3m0Rnkxy" TargetMode="External"/><Relationship Id="rId296" Type="http://schemas.openxmlformats.org/officeDocument/2006/relationships/hyperlink" Target="https://drive.google.com/open?id=1x6L-chsZEj2Yp7WD5YUubAKC5NzbWe0a" TargetMode="External"/><Relationship Id="rId295" Type="http://schemas.openxmlformats.org/officeDocument/2006/relationships/hyperlink" Target="https://drive.google.com/open?id=1wK9foCGRxU_-c2JztKnEX4UQxFijO78j" TargetMode="External"/><Relationship Id="rId294" Type="http://schemas.openxmlformats.org/officeDocument/2006/relationships/hyperlink" Target="https://drive.google.com/open?id=1d-7QcBr-t76Qkl_FSejTfjwHiMLiTXWe" TargetMode="External"/><Relationship Id="rId299" Type="http://schemas.openxmlformats.org/officeDocument/2006/relationships/hyperlink" Target="https://drive.google.com/open?id=1diSkX5pxRgSZE712ZD-0G8a4VESPjd6a" TargetMode="External"/><Relationship Id="rId298" Type="http://schemas.openxmlformats.org/officeDocument/2006/relationships/hyperlink" Target="https://drive.google.com/open?id=1SWdCif-MnfBtA13pb1HMZdtM0gm6-TES" TargetMode="External"/><Relationship Id="rId271" Type="http://schemas.openxmlformats.org/officeDocument/2006/relationships/hyperlink" Target="https://drive.google.com/open?id=19yoBl8jc2ysWPxoSUI0Q9r_kfHlojHHx" TargetMode="External"/><Relationship Id="rId270" Type="http://schemas.openxmlformats.org/officeDocument/2006/relationships/hyperlink" Target="https://drive.google.com/open?id=1G-Q4BAsFhHF-Axx76vIbbNuHrt8B0H8a" TargetMode="External"/><Relationship Id="rId269" Type="http://schemas.openxmlformats.org/officeDocument/2006/relationships/hyperlink" Target="https://drive.google.com/open?id=1ZXGEr4YX7eJ6VdytpCxtfqHHEjMi7TBx" TargetMode="External"/><Relationship Id="rId264" Type="http://schemas.openxmlformats.org/officeDocument/2006/relationships/hyperlink" Target="https://drive.google.com/open?id=1FGGSKhxrOc5jxJO2SHFuE7xwHF7oWYMb" TargetMode="External"/><Relationship Id="rId263" Type="http://schemas.openxmlformats.org/officeDocument/2006/relationships/hyperlink" Target="https://drive.google.com/open?id=1zfjB29V-CgpDCFN4tx2l8xNKiPhA1VVo" TargetMode="External"/><Relationship Id="rId262" Type="http://schemas.openxmlformats.org/officeDocument/2006/relationships/hyperlink" Target="https://drive.google.com/open?id=1YWw7AZQEhGTaMTyrVnZYiZay4ok5vEYb" TargetMode="External"/><Relationship Id="rId261" Type="http://schemas.openxmlformats.org/officeDocument/2006/relationships/hyperlink" Target="https://drive.google.com/open?id=1Tpt5hHBMbo4bDKMUgJmuJn1OKJXx2X-D" TargetMode="External"/><Relationship Id="rId268" Type="http://schemas.openxmlformats.org/officeDocument/2006/relationships/hyperlink" Target="https://drive.google.com/open?id=1cXQHSrCr2pQOk7L9jNPEMM0gUvs7Kogq" TargetMode="External"/><Relationship Id="rId267" Type="http://schemas.openxmlformats.org/officeDocument/2006/relationships/hyperlink" Target="https://drive.google.com/open?id=19jaYgS2oJwOww8wj5SJmiPFiHmsf2_PT" TargetMode="External"/><Relationship Id="rId266" Type="http://schemas.openxmlformats.org/officeDocument/2006/relationships/hyperlink" Target="https://drive.google.com/open?id=1v0-uFwfL41GeUK-SXR6Sqzf-daxbqxD6" TargetMode="External"/><Relationship Id="rId265" Type="http://schemas.openxmlformats.org/officeDocument/2006/relationships/hyperlink" Target="https://drive.google.com/open?id=1LS257a2Y0I7Nwy65KhSA4nDELdyVJ-JW" TargetMode="External"/><Relationship Id="rId260" Type="http://schemas.openxmlformats.org/officeDocument/2006/relationships/hyperlink" Target="https://drive.google.com/open?id=1m8c5_niisgMQiaQdLlpAonzKyiA1a22B" TargetMode="External"/><Relationship Id="rId259" Type="http://schemas.openxmlformats.org/officeDocument/2006/relationships/hyperlink" Target="https://drive.google.com/open?id=1yOIl4wZrMH5_g3MhdVkPJeh9DxfnTdi2" TargetMode="External"/><Relationship Id="rId258" Type="http://schemas.openxmlformats.org/officeDocument/2006/relationships/hyperlink" Target="https://drive.google.com/open?id=1sObW_7IZL2uMYv3T8KTWxruZKifk6_vD" TargetMode="External"/><Relationship Id="rId253" Type="http://schemas.openxmlformats.org/officeDocument/2006/relationships/hyperlink" Target="https://drive.google.com/open?id=1jvUtKdOIGaXr0K2IQX58dN_BsQ6G_5o7" TargetMode="External"/><Relationship Id="rId495" Type="http://schemas.openxmlformats.org/officeDocument/2006/relationships/hyperlink" Target="https://drive.google.com/open?id=1WTY6b8XTZcEsYU6CY3KRa_Bn1wFCr29x" TargetMode="External"/><Relationship Id="rId252" Type="http://schemas.openxmlformats.org/officeDocument/2006/relationships/hyperlink" Target="https://drive.google.com/open?id=1Tlx-7-SJubtfdaA2vqsEbfJ1bVuyARUc" TargetMode="External"/><Relationship Id="rId494" Type="http://schemas.openxmlformats.org/officeDocument/2006/relationships/hyperlink" Target="https://drive.google.com/open?id=1A8nU_MBSkasSlGJGiyE34DhJ9pRa8XTp" TargetMode="External"/><Relationship Id="rId251" Type="http://schemas.openxmlformats.org/officeDocument/2006/relationships/hyperlink" Target="https://drive.google.com/open?id=1j5kh2rm5qGYQVvdw0P1cRtOP1Nffcqt5" TargetMode="External"/><Relationship Id="rId493" Type="http://schemas.openxmlformats.org/officeDocument/2006/relationships/hyperlink" Target="https://drive.google.com/open?id=1Ldjo9UP_ODjtqO4bg9scVGqXO47eUz24" TargetMode="External"/><Relationship Id="rId250" Type="http://schemas.openxmlformats.org/officeDocument/2006/relationships/hyperlink" Target="https://drive.google.com/open?id=1AGNU8jOROV7k_ddH2-bhXusmGDqp97OB" TargetMode="External"/><Relationship Id="rId492" Type="http://schemas.openxmlformats.org/officeDocument/2006/relationships/hyperlink" Target="https://drive.google.com/open?id=1yf7_uhy5YlvL_PBJ_DFwc2O2aFaEAszm" TargetMode="External"/><Relationship Id="rId257" Type="http://schemas.openxmlformats.org/officeDocument/2006/relationships/hyperlink" Target="https://drive.google.com/open?id=1qiFA3iYs9s889YbyYswJoBWOHFFWTcil" TargetMode="External"/><Relationship Id="rId499" Type="http://schemas.openxmlformats.org/officeDocument/2006/relationships/hyperlink" Target="https://drive.google.com/open?id=17G4T_whLfXJPEYyzK3_LPY0PkD0Pj9oJ" TargetMode="External"/><Relationship Id="rId256" Type="http://schemas.openxmlformats.org/officeDocument/2006/relationships/hyperlink" Target="https://drive.google.com/open?id=10kccmgafFDiTJd3K_QLzhIEbm8NpfItf" TargetMode="External"/><Relationship Id="rId498" Type="http://schemas.openxmlformats.org/officeDocument/2006/relationships/hyperlink" Target="https://drive.google.com/open?id=1xDCP4Idm-JdOBmwkw5Ud9Bew6d8snO1a" TargetMode="External"/><Relationship Id="rId255" Type="http://schemas.openxmlformats.org/officeDocument/2006/relationships/hyperlink" Target="https://drive.google.com/open?id=1Fi7TShYIe4UbV_VmSqiU1MOIBrIKsLOD" TargetMode="External"/><Relationship Id="rId497" Type="http://schemas.openxmlformats.org/officeDocument/2006/relationships/hyperlink" Target="https://drive.google.com/open?id=1Af3FaUrIr5twGF65XyP9gRInPnhCuyZW" TargetMode="External"/><Relationship Id="rId254" Type="http://schemas.openxmlformats.org/officeDocument/2006/relationships/hyperlink" Target="https://drive.google.com/open?id=1mBRQSlmdZYdz9pmAdB0w-TRm4SYSg0Kq" TargetMode="External"/><Relationship Id="rId496" Type="http://schemas.openxmlformats.org/officeDocument/2006/relationships/hyperlink" Target="https://drive.google.com/open?id=1zcjgkdBHZIzDRcN4L-ryCk69hw2hcfhq" TargetMode="External"/><Relationship Id="rId293" Type="http://schemas.openxmlformats.org/officeDocument/2006/relationships/hyperlink" Target="https://drive.google.com/open?id=1kvH6919Exzl0gGgC4uMW3BjBrmOpAUFG" TargetMode="External"/><Relationship Id="rId292" Type="http://schemas.openxmlformats.org/officeDocument/2006/relationships/hyperlink" Target="https://drive.google.com/open?id=1VhPk_Ji8snrZnSZYF_jmtHbuakvY5EWr" TargetMode="External"/><Relationship Id="rId291" Type="http://schemas.openxmlformats.org/officeDocument/2006/relationships/hyperlink" Target="https://drive.google.com/open?id=1zBzP8hcKC0fYXzmKY7RV4aJaTMDj1dS7" TargetMode="External"/><Relationship Id="rId290" Type="http://schemas.openxmlformats.org/officeDocument/2006/relationships/hyperlink" Target="https://drive.google.com/open?id=1uFlaaj7Zxc-e9hjEES1loK032FCQzThs" TargetMode="External"/><Relationship Id="rId286" Type="http://schemas.openxmlformats.org/officeDocument/2006/relationships/hyperlink" Target="https://drive.google.com/open?id=1afrXp1GplTLUzM4xXT75WiJuoN-ngnkL" TargetMode="External"/><Relationship Id="rId285" Type="http://schemas.openxmlformats.org/officeDocument/2006/relationships/hyperlink" Target="https://drive.google.com/open?id=1f1hmUaqNFKKnWC23VMXNQWHjKvYm1-Z-" TargetMode="External"/><Relationship Id="rId284" Type="http://schemas.openxmlformats.org/officeDocument/2006/relationships/hyperlink" Target="https://drive.google.com/open?id=1eKJuZoCCUGWZhR3XeZ3_Zz6irSQHPgBe" TargetMode="External"/><Relationship Id="rId283" Type="http://schemas.openxmlformats.org/officeDocument/2006/relationships/hyperlink" Target="https://drive.google.com/open?id=1elHLLGrAR22J-QKpGj5W1SKyRagN_eSb" TargetMode="External"/><Relationship Id="rId289" Type="http://schemas.openxmlformats.org/officeDocument/2006/relationships/hyperlink" Target="https://drive.google.com/open?id=1GsVIcQhieEc6XAzKQU8Wi-7VxgfQKlkV" TargetMode="External"/><Relationship Id="rId288" Type="http://schemas.openxmlformats.org/officeDocument/2006/relationships/hyperlink" Target="https://drive.google.com/open?id=1YhXDxouA4Zz0EqEU_4z97bkjg7FiqV5w" TargetMode="External"/><Relationship Id="rId287" Type="http://schemas.openxmlformats.org/officeDocument/2006/relationships/hyperlink" Target="https://drive.google.com/open?id=1RXEiBe-9Xbkbqk_mqODjwaq3yk0z3fc2" TargetMode="External"/><Relationship Id="rId282" Type="http://schemas.openxmlformats.org/officeDocument/2006/relationships/hyperlink" Target="https://drive.google.com/open?id=1WTj_193KNm4Kc8qEVSJv1dERlCS3OcAC" TargetMode="External"/><Relationship Id="rId281" Type="http://schemas.openxmlformats.org/officeDocument/2006/relationships/hyperlink" Target="https://drive.google.com/open?id=1ZgaT7eecfClqSsFGYy8MQFr8GNXxUGkz" TargetMode="External"/><Relationship Id="rId280" Type="http://schemas.openxmlformats.org/officeDocument/2006/relationships/hyperlink" Target="https://drive.google.com/open?id=1jF-SGHVdUB2B0b9mHOSdrFtEjHA26wqY" TargetMode="External"/><Relationship Id="rId275" Type="http://schemas.openxmlformats.org/officeDocument/2006/relationships/hyperlink" Target="https://drive.google.com/open?id=1U4xWQHmovRP9qdApNl_OwLwcyUKNwdih" TargetMode="External"/><Relationship Id="rId274" Type="http://schemas.openxmlformats.org/officeDocument/2006/relationships/hyperlink" Target="https://drive.google.com/open?id=1I7uClppzI_L3H6oB5kAyWj5P9mpVabc_" TargetMode="External"/><Relationship Id="rId273" Type="http://schemas.openxmlformats.org/officeDocument/2006/relationships/hyperlink" Target="https://drive.google.com/open?id=1WUP_yo6WBbFmgblHrUjGq36OJsWAsVw4" TargetMode="External"/><Relationship Id="rId272" Type="http://schemas.openxmlformats.org/officeDocument/2006/relationships/hyperlink" Target="https://drive.google.com/open?id=1PtY4QjuF0Ohcy1e5EHWNSjyeBcJ2ND4A" TargetMode="External"/><Relationship Id="rId279" Type="http://schemas.openxmlformats.org/officeDocument/2006/relationships/hyperlink" Target="https://drive.google.com/open?id=14BIKxE-yJDCb9PoZ2hGundJ5aZLjJEnF" TargetMode="External"/><Relationship Id="rId278" Type="http://schemas.openxmlformats.org/officeDocument/2006/relationships/hyperlink" Target="https://drive.google.com/open?id=1CnHubORfyWbGobY6OEn7o_VTRBFw_oJp" TargetMode="External"/><Relationship Id="rId277" Type="http://schemas.openxmlformats.org/officeDocument/2006/relationships/hyperlink" Target="https://drive.google.com/open?id=1g5kah-uBIdp7CF0bbDolI-c6Go0-CYpm" TargetMode="External"/><Relationship Id="rId276" Type="http://schemas.openxmlformats.org/officeDocument/2006/relationships/hyperlink" Target="https://drive.google.com/open?id=1Rni5VYg1lhaDuBgqLP2IviY1XUut86tv" TargetMode="External"/><Relationship Id="rId907" Type="http://schemas.openxmlformats.org/officeDocument/2006/relationships/hyperlink" Target="https://drive.google.com/open?id=1B0dINa-531OIWRROR1zecRLC54E8qklj" TargetMode="External"/><Relationship Id="rId906" Type="http://schemas.openxmlformats.org/officeDocument/2006/relationships/hyperlink" Target="https://drive.google.com/open?id=1e7BxqUFBc6q6wFQs84ExcTu_BPSvMBWT" TargetMode="External"/><Relationship Id="rId905" Type="http://schemas.openxmlformats.org/officeDocument/2006/relationships/hyperlink" Target="https://drive.google.com/open?id=1qyK936bcO6hYNhKlXFgsa1PZHckbePjN" TargetMode="External"/><Relationship Id="rId904" Type="http://schemas.openxmlformats.org/officeDocument/2006/relationships/hyperlink" Target="https://drive.google.com/open?id=1Fi0el87XVroWE3r5Om9CnT81xTuLAy6h" TargetMode="External"/><Relationship Id="rId909" Type="http://schemas.openxmlformats.org/officeDocument/2006/relationships/hyperlink" Target="https://drive.google.com/open?id=1ksGywjuZjo_jgXMOUw7HX28Jjtn36MZU" TargetMode="External"/><Relationship Id="rId908" Type="http://schemas.openxmlformats.org/officeDocument/2006/relationships/hyperlink" Target="https://drive.google.com/open?id=1DEtOO7rvjdfSUkRMfBz-GPIqtoSkn_EN" TargetMode="External"/><Relationship Id="rId903" Type="http://schemas.openxmlformats.org/officeDocument/2006/relationships/hyperlink" Target="https://drive.google.com/open?id=1BirQTwI4KcMIfO6sNiKym4Xqkb_BIxTa" TargetMode="External"/><Relationship Id="rId902" Type="http://schemas.openxmlformats.org/officeDocument/2006/relationships/hyperlink" Target="https://drive.google.com/open?id=107mDkQPM7vfg9VbGDrwHHSaoaT6HyneL" TargetMode="External"/><Relationship Id="rId901" Type="http://schemas.openxmlformats.org/officeDocument/2006/relationships/hyperlink" Target="https://drive.google.com/open?id=1AqTl9FycASY9e4bWrjQUot1Q-xX3h4SA" TargetMode="External"/><Relationship Id="rId900" Type="http://schemas.openxmlformats.org/officeDocument/2006/relationships/hyperlink" Target="https://drive.google.com/open?id=13EbOrbCmtoKpHwlJEPDu44yMkdUJyPiM" TargetMode="External"/><Relationship Id="rId929" Type="http://schemas.openxmlformats.org/officeDocument/2006/relationships/hyperlink" Target="https://drive.google.com/open?id=1hCMqUQprD2jOwz8bXA0B3I5W33Ih8L3S" TargetMode="External"/><Relationship Id="rId928" Type="http://schemas.openxmlformats.org/officeDocument/2006/relationships/hyperlink" Target="https://drive.google.com/open?id=1Xr-6clWY9L3I97jphE1h57GhuzOHKlJ_" TargetMode="External"/><Relationship Id="rId927" Type="http://schemas.openxmlformats.org/officeDocument/2006/relationships/hyperlink" Target="https://drive.google.com/open?id=1KgJlPWz6u61jgaGtU_tO38veYjK2Ip_j" TargetMode="External"/><Relationship Id="rId926" Type="http://schemas.openxmlformats.org/officeDocument/2006/relationships/hyperlink" Target="https://drive.google.com/open?id=1A6wrd5RSCUXGw7bmeULftdi2Ywk2NBU8" TargetMode="External"/><Relationship Id="rId921" Type="http://schemas.openxmlformats.org/officeDocument/2006/relationships/hyperlink" Target="https://drive.google.com/open?id=1EhTeeHOmJKcvwDL7gN0AR737CTV8adCn" TargetMode="External"/><Relationship Id="rId920" Type="http://schemas.openxmlformats.org/officeDocument/2006/relationships/hyperlink" Target="https://drive.google.com/open?id=1uAtx60CbBbFsh3uWpkfCFo-WohakX7Jc" TargetMode="External"/><Relationship Id="rId925" Type="http://schemas.openxmlformats.org/officeDocument/2006/relationships/hyperlink" Target="https://drive.google.com/open?id=1qdq200YQFunKGwmcbKq7w12-8rwUzpBw" TargetMode="External"/><Relationship Id="rId924" Type="http://schemas.openxmlformats.org/officeDocument/2006/relationships/hyperlink" Target="https://drive.google.com/open?id=1TLIdP7j0p7z_kHCnMcHOjXzOhD0xalHN" TargetMode="External"/><Relationship Id="rId923" Type="http://schemas.openxmlformats.org/officeDocument/2006/relationships/hyperlink" Target="https://drive.google.com/open?id=1TpISR130cuM9GvYZY-ZkDwlyVWo2C0Z9" TargetMode="External"/><Relationship Id="rId922" Type="http://schemas.openxmlformats.org/officeDocument/2006/relationships/hyperlink" Target="https://drive.google.com/open?id=1Xmzybz4firjvQE5QuS3hFz0bLcJdXcwd" TargetMode="External"/><Relationship Id="rId918" Type="http://schemas.openxmlformats.org/officeDocument/2006/relationships/hyperlink" Target="https://drive.google.com/open?id=1N4Vh5WqnZPxcgFeu6SBqcqVqA-HwmPMB" TargetMode="External"/><Relationship Id="rId917" Type="http://schemas.openxmlformats.org/officeDocument/2006/relationships/hyperlink" Target="https://drive.google.com/open?id=1u8qv4_YElhjKDQlKu6tMgxWqagmrVVWJ" TargetMode="External"/><Relationship Id="rId916" Type="http://schemas.openxmlformats.org/officeDocument/2006/relationships/hyperlink" Target="https://drive.google.com/open?id=16MwCYFoAGYBQDYyHOfp-Rnn3ZzGsyvw2" TargetMode="External"/><Relationship Id="rId915" Type="http://schemas.openxmlformats.org/officeDocument/2006/relationships/hyperlink" Target="https://drive.google.com/open?id=1ngDcPFkuicxjJOMyMJ83m3EQkhffCTkC" TargetMode="External"/><Relationship Id="rId919" Type="http://schemas.openxmlformats.org/officeDocument/2006/relationships/hyperlink" Target="https://drive.google.com/open?id=1JL69Pw-vsuwp1sjnEVcPrCffqRnPDdVj" TargetMode="External"/><Relationship Id="rId910" Type="http://schemas.openxmlformats.org/officeDocument/2006/relationships/hyperlink" Target="https://drive.google.com/open?id=15b97UjlHI96f71KsMaEaxfLU4JYj3VBp" TargetMode="External"/><Relationship Id="rId914" Type="http://schemas.openxmlformats.org/officeDocument/2006/relationships/hyperlink" Target="https://drive.google.com/open?id=1clmA5RTGmZwAXzlOf1lHY9vecjyvhqDi" TargetMode="External"/><Relationship Id="rId913" Type="http://schemas.openxmlformats.org/officeDocument/2006/relationships/hyperlink" Target="https://drive.google.com/open?id=1c0fTvqx4vuURMt_GMFUKuEyI5gacxw4t" TargetMode="External"/><Relationship Id="rId912" Type="http://schemas.openxmlformats.org/officeDocument/2006/relationships/hyperlink" Target="https://drive.google.com/open?id=1BbyUwMsSOOO4jsXfPb9MoNHIQOaHB1y7" TargetMode="External"/><Relationship Id="rId911" Type="http://schemas.openxmlformats.org/officeDocument/2006/relationships/hyperlink" Target="https://drive.google.com/open?id=1mfdlDEnXCM01KkVtkM7TrGI7eQoNgD5G" TargetMode="External"/><Relationship Id="rId629" Type="http://schemas.openxmlformats.org/officeDocument/2006/relationships/hyperlink" Target="https://drive.google.com/open?id=1t9hiYgacze6tqxT84xZ73Y1ErV4h0UVx" TargetMode="External"/><Relationship Id="rId624" Type="http://schemas.openxmlformats.org/officeDocument/2006/relationships/hyperlink" Target="https://drive.google.com/open?id=1mtFsSRVneRiOYMPL5B47uW_CgmGBiMop" TargetMode="External"/><Relationship Id="rId866" Type="http://schemas.openxmlformats.org/officeDocument/2006/relationships/hyperlink" Target="https://drive.google.com/open?id=1bmh43xmXvpBRtbHqAU-QKMG8vdxB8Ugf" TargetMode="External"/><Relationship Id="rId623" Type="http://schemas.openxmlformats.org/officeDocument/2006/relationships/hyperlink" Target="https://drive.google.com/open?id=1jq8IR0GdMS5p3Oz0GvqFz-qHuK3npzQh" TargetMode="External"/><Relationship Id="rId865" Type="http://schemas.openxmlformats.org/officeDocument/2006/relationships/hyperlink" Target="https://drive.google.com/open?id=13Fnitj3Iqk5aGUKn8nH4IuEIUmNaycFO" TargetMode="External"/><Relationship Id="rId622" Type="http://schemas.openxmlformats.org/officeDocument/2006/relationships/hyperlink" Target="https://drive.google.com/open?id=1gawbcId7aHU3dheGaZeIKWvNhwDWFiiv" TargetMode="External"/><Relationship Id="rId864" Type="http://schemas.openxmlformats.org/officeDocument/2006/relationships/hyperlink" Target="https://drive.google.com/open?id=1MzxFvY76zifsvMwC34foLp4TB5eCqHF2" TargetMode="External"/><Relationship Id="rId621" Type="http://schemas.openxmlformats.org/officeDocument/2006/relationships/hyperlink" Target="https://drive.google.com/open?id=1B7EB8aKC2mJQ8dhEgsprBFvIkBttr923" TargetMode="External"/><Relationship Id="rId863" Type="http://schemas.openxmlformats.org/officeDocument/2006/relationships/hyperlink" Target="https://drive.google.com/open?id=1TIS4rwbPy-9SYXAZEJnuyCmntqTa8wIs" TargetMode="External"/><Relationship Id="rId628" Type="http://schemas.openxmlformats.org/officeDocument/2006/relationships/hyperlink" Target="https://drive.google.com/open?id=1YMvl7EzkeF8efpMl_mgQTm94yYys7FUQ" TargetMode="External"/><Relationship Id="rId627" Type="http://schemas.openxmlformats.org/officeDocument/2006/relationships/hyperlink" Target="https://drive.google.com/open?id=1ybL5B9ZxOiWUXl-iA-43sBq4GCnWHl-D" TargetMode="External"/><Relationship Id="rId869" Type="http://schemas.openxmlformats.org/officeDocument/2006/relationships/hyperlink" Target="https://drive.google.com/open?id=1bBQPof-m6yWRH7C6sI4O-KPfz4PV0ur9" TargetMode="External"/><Relationship Id="rId626" Type="http://schemas.openxmlformats.org/officeDocument/2006/relationships/hyperlink" Target="https://drive.google.com/open?id=1dMCY00A7Eg5Pjjnwtkvs_jEkQaRbFJTz" TargetMode="External"/><Relationship Id="rId868" Type="http://schemas.openxmlformats.org/officeDocument/2006/relationships/hyperlink" Target="https://drive.google.com/open?id=1vlkZNDYF5ua9grpSHHwZA7Pig9MlHHHe" TargetMode="External"/><Relationship Id="rId625" Type="http://schemas.openxmlformats.org/officeDocument/2006/relationships/hyperlink" Target="https://drive.google.com/open?id=1ejIyRa-1hm0w1MhF8OTIeJrruwTQwKRb" TargetMode="External"/><Relationship Id="rId867" Type="http://schemas.openxmlformats.org/officeDocument/2006/relationships/hyperlink" Target="https://drive.google.com/open?id=1R5W8Z2EDUa6lYiqnz0rwwgtkCCnNSOZ_" TargetMode="External"/><Relationship Id="rId620" Type="http://schemas.openxmlformats.org/officeDocument/2006/relationships/hyperlink" Target="https://drive.google.com/open?id=1NNYsp6vsEz_ns3RWuepMgJAM5SxTqe3n" TargetMode="External"/><Relationship Id="rId862" Type="http://schemas.openxmlformats.org/officeDocument/2006/relationships/hyperlink" Target="https://drive.google.com/open?id=1jccXHPBLifzRKusFx-Qst6KxI1_gKryI" TargetMode="External"/><Relationship Id="rId861" Type="http://schemas.openxmlformats.org/officeDocument/2006/relationships/hyperlink" Target="https://drive.google.com/open?id=1PpTe3DnfHou84p7b-4dEdqSASmNj2xS9" TargetMode="External"/><Relationship Id="rId860" Type="http://schemas.openxmlformats.org/officeDocument/2006/relationships/hyperlink" Target="https://drive.google.com/open?id=1o7uusQWhr1wB9ScLHDtvL2fBHUkQdnKu" TargetMode="External"/><Relationship Id="rId619" Type="http://schemas.openxmlformats.org/officeDocument/2006/relationships/hyperlink" Target="https://drive.google.com/open?id=1IdfEuXR_BGa_v0YOekh2SHz35kVIspCh" TargetMode="External"/><Relationship Id="rId618" Type="http://schemas.openxmlformats.org/officeDocument/2006/relationships/hyperlink" Target="https://drive.google.com/open?id=1wI_UO5ePZK7DSq0HOwXdu3lPDsPmFonO" TargetMode="External"/><Relationship Id="rId613" Type="http://schemas.openxmlformats.org/officeDocument/2006/relationships/hyperlink" Target="https://drive.google.com/open?id=1iaSPDo6gFNYMw1FJbtLOYelTnKCyYS90" TargetMode="External"/><Relationship Id="rId855" Type="http://schemas.openxmlformats.org/officeDocument/2006/relationships/hyperlink" Target="https://drive.google.com/open?id=1Yqj3vdLNrUCzoBTFh5TD_NR0v6DdyVbJ" TargetMode="External"/><Relationship Id="rId612" Type="http://schemas.openxmlformats.org/officeDocument/2006/relationships/hyperlink" Target="https://drive.google.com/open?id=1s6GUwOdNGpsqHRhc7qOam7HGKILBJJK7" TargetMode="External"/><Relationship Id="rId854" Type="http://schemas.openxmlformats.org/officeDocument/2006/relationships/hyperlink" Target="https://drive.google.com/open?id=1fnoQHYpiTfsNrqlADadHNbc2-_TRQLHB" TargetMode="External"/><Relationship Id="rId611" Type="http://schemas.openxmlformats.org/officeDocument/2006/relationships/hyperlink" Target="https://drive.google.com/open?id=107OQKQAF3YvdNnZo8TC0PIQRkd0DzADB" TargetMode="External"/><Relationship Id="rId853" Type="http://schemas.openxmlformats.org/officeDocument/2006/relationships/hyperlink" Target="https://drive.google.com/open?id=12AWkoUAlYKvTcHV9J6NgYVZWrVY6dI18" TargetMode="External"/><Relationship Id="rId610" Type="http://schemas.openxmlformats.org/officeDocument/2006/relationships/hyperlink" Target="https://drive.google.com/open?id=1T8B3PX2I_1uFEFppX7_wigptfbQUNP1M" TargetMode="External"/><Relationship Id="rId852" Type="http://schemas.openxmlformats.org/officeDocument/2006/relationships/hyperlink" Target="https://drive.google.com/open?id=1GFFgmEJ_sxG9rwRhZU5eP8B3-STsvVrp" TargetMode="External"/><Relationship Id="rId617" Type="http://schemas.openxmlformats.org/officeDocument/2006/relationships/hyperlink" Target="https://drive.google.com/open?id=1YpALjZyFjOdBJlugOFJAxuvym0-bFSwZ" TargetMode="External"/><Relationship Id="rId859" Type="http://schemas.openxmlformats.org/officeDocument/2006/relationships/hyperlink" Target="https://drive.google.com/open?id=1RH_7Ep5Na4v2kK9fRPIzwPpnmpmSYj3w" TargetMode="External"/><Relationship Id="rId616" Type="http://schemas.openxmlformats.org/officeDocument/2006/relationships/hyperlink" Target="https://drive.google.com/open?id=13jLdGAYBOtmZkKdfrUqUg7LJwQLsDCy4" TargetMode="External"/><Relationship Id="rId858" Type="http://schemas.openxmlformats.org/officeDocument/2006/relationships/hyperlink" Target="https://drive.google.com/open?id=1qP2Wcbwr0rRF8cv9a_8ZHF4ekZ89cpuK" TargetMode="External"/><Relationship Id="rId615" Type="http://schemas.openxmlformats.org/officeDocument/2006/relationships/hyperlink" Target="https://drive.google.com/open?id=17uqWj_DBpbh5UrVErzEGsfc-Ur7RZUey" TargetMode="External"/><Relationship Id="rId857" Type="http://schemas.openxmlformats.org/officeDocument/2006/relationships/hyperlink" Target="https://drive.google.com/open?id=1wtDD6Pbxw7NcuSNRh-GNiqesjLtXtDk3" TargetMode="External"/><Relationship Id="rId614" Type="http://schemas.openxmlformats.org/officeDocument/2006/relationships/hyperlink" Target="https://drive.google.com/open?id=1og0HVyBGTt_S7mLDo3F6-0pAvAYNEk6y" TargetMode="External"/><Relationship Id="rId856" Type="http://schemas.openxmlformats.org/officeDocument/2006/relationships/hyperlink" Target="https://drive.google.com/open?id=1c4gm9wiKFgPWsQ9J9Lj27LJde0NgBo3b" TargetMode="External"/><Relationship Id="rId851" Type="http://schemas.openxmlformats.org/officeDocument/2006/relationships/hyperlink" Target="https://drive.google.com/open?id=1Y_uMm0MS8HCGEVpB2QlYrq_Ce7IaYHev" TargetMode="External"/><Relationship Id="rId850" Type="http://schemas.openxmlformats.org/officeDocument/2006/relationships/hyperlink" Target="https://drive.google.com/open?id=1UWUxbWoCy1eUPtjUNNZoZkvqUw15PlyV" TargetMode="External"/><Relationship Id="rId409" Type="http://schemas.openxmlformats.org/officeDocument/2006/relationships/hyperlink" Target="https://drive.google.com/open?id=1jPXDekAJ6q-1rnaMB8ekLjBh5nYE0rDI" TargetMode="External"/><Relationship Id="rId404" Type="http://schemas.openxmlformats.org/officeDocument/2006/relationships/hyperlink" Target="https://drive.google.com/open?id=1Hmia61S0gTJtGrc14MRiHNMcdcF77hoq" TargetMode="External"/><Relationship Id="rId646" Type="http://schemas.openxmlformats.org/officeDocument/2006/relationships/hyperlink" Target="https://drive.google.com/open?id=13L4IlTGczJ9PWyPtImfwMmPec_NvljLX" TargetMode="External"/><Relationship Id="rId888" Type="http://schemas.openxmlformats.org/officeDocument/2006/relationships/hyperlink" Target="https://drive.google.com/open?id=14PLQ-0PzXGA2xU0nZX8KWbLX4ucIPryF" TargetMode="External"/><Relationship Id="rId403" Type="http://schemas.openxmlformats.org/officeDocument/2006/relationships/hyperlink" Target="https://drive.google.com/open?id=1OaM2RA3xeQkSLU782CQoB8decsTxSM1h" TargetMode="External"/><Relationship Id="rId645" Type="http://schemas.openxmlformats.org/officeDocument/2006/relationships/hyperlink" Target="https://drive.google.com/open?id=1jcsrDaO9pOgBupjyYtTkgvmot20sBv9k" TargetMode="External"/><Relationship Id="rId887" Type="http://schemas.openxmlformats.org/officeDocument/2006/relationships/hyperlink" Target="https://drive.google.com/open?id=1cTAhW9LZzU2D278ZXavvjaF6sIXXP_NM" TargetMode="External"/><Relationship Id="rId402" Type="http://schemas.openxmlformats.org/officeDocument/2006/relationships/hyperlink" Target="https://drive.google.com/open?id=1ORhzFGDtTNYRUAvj8L6McGs6R80FtwT5" TargetMode="External"/><Relationship Id="rId644" Type="http://schemas.openxmlformats.org/officeDocument/2006/relationships/hyperlink" Target="https://drive.google.com/open?id=17iYI_7Ce1Q1er-JdXNII5BBEK86llgIj" TargetMode="External"/><Relationship Id="rId886" Type="http://schemas.openxmlformats.org/officeDocument/2006/relationships/hyperlink" Target="https://drive.google.com/open?id=1IcpttItQSZv9ilrCnLoK9M5sARuLf5MZ" TargetMode="External"/><Relationship Id="rId401" Type="http://schemas.openxmlformats.org/officeDocument/2006/relationships/hyperlink" Target="https://drive.google.com/open?id=1M9hnCJQ4s9Pjp5eeXIeCgjBSEsCoTprF" TargetMode="External"/><Relationship Id="rId643" Type="http://schemas.openxmlformats.org/officeDocument/2006/relationships/hyperlink" Target="https://drive.google.com/open?id=1UCP9V0ayTjOQHIMhauCq5CopFJymeumB" TargetMode="External"/><Relationship Id="rId885" Type="http://schemas.openxmlformats.org/officeDocument/2006/relationships/hyperlink" Target="https://drive.google.com/open?id=1235tOu0ayNqfe6OdpG_c7TIM4SNIZ8MK" TargetMode="External"/><Relationship Id="rId408" Type="http://schemas.openxmlformats.org/officeDocument/2006/relationships/hyperlink" Target="https://drive.google.com/open?id=1Ov3HKYjW7VPTseA2FQMZzdY2e7WLN2sH" TargetMode="External"/><Relationship Id="rId407" Type="http://schemas.openxmlformats.org/officeDocument/2006/relationships/hyperlink" Target="https://drive.google.com/open?id=1FGU6xHOLUtuUMd5WBkFe9cvLxfMupdrw" TargetMode="External"/><Relationship Id="rId649" Type="http://schemas.openxmlformats.org/officeDocument/2006/relationships/hyperlink" Target="https://drive.google.com/open?id=1K3flKQHmEjb194KuewNj87K_UBV03FK1" TargetMode="External"/><Relationship Id="rId406" Type="http://schemas.openxmlformats.org/officeDocument/2006/relationships/hyperlink" Target="https://drive.google.com/open?id=1sDI9ueIsEh2QAMQ69PqPdDonjx-G8J8Y" TargetMode="External"/><Relationship Id="rId648" Type="http://schemas.openxmlformats.org/officeDocument/2006/relationships/hyperlink" Target="https://drive.google.com/open?id=1guT1Wc5b1mOzZGcReU_wjIfd7WoCQjhi" TargetMode="External"/><Relationship Id="rId405" Type="http://schemas.openxmlformats.org/officeDocument/2006/relationships/hyperlink" Target="https://drive.google.com/open?id=1Ot-bfhFAofGtKoB81UcBtQi5AARs3qMz" TargetMode="External"/><Relationship Id="rId647" Type="http://schemas.openxmlformats.org/officeDocument/2006/relationships/hyperlink" Target="https://drive.google.com/open?id=15Y-nMWxz1CXkOVqsK21jKq7L90S_HciQ" TargetMode="External"/><Relationship Id="rId889" Type="http://schemas.openxmlformats.org/officeDocument/2006/relationships/hyperlink" Target="https://drive.google.com/open?id=1GV4TgK74qUQkkYEGCAoIEqTorSCg9oAI" TargetMode="External"/><Relationship Id="rId880" Type="http://schemas.openxmlformats.org/officeDocument/2006/relationships/hyperlink" Target="https://drive.google.com/open?id=1JngMajvMrifOyMjcSfjk-zJwv-bCfy5g" TargetMode="External"/><Relationship Id="rId400" Type="http://schemas.openxmlformats.org/officeDocument/2006/relationships/hyperlink" Target="https://drive.google.com/open?id=1k0bLrsGM0GVpueQWABF_2IcYqyZtKsu-" TargetMode="External"/><Relationship Id="rId642" Type="http://schemas.openxmlformats.org/officeDocument/2006/relationships/hyperlink" Target="https://drive.google.com/open?id=16d5n2T_YXVuEE2kOpmPxHLpNyCQIEaxL" TargetMode="External"/><Relationship Id="rId884" Type="http://schemas.openxmlformats.org/officeDocument/2006/relationships/hyperlink" Target="https://drive.google.com/open?id=1GfNI7k2t_zSBdjS4p1aTorxZZRNDW7KT" TargetMode="External"/><Relationship Id="rId641" Type="http://schemas.openxmlformats.org/officeDocument/2006/relationships/hyperlink" Target="https://drive.google.com/open?id=1VgdpTEsTaZU4F16H8tVN3vesDVg6OGeU" TargetMode="External"/><Relationship Id="rId883" Type="http://schemas.openxmlformats.org/officeDocument/2006/relationships/hyperlink" Target="https://drive.google.com/open?id=1b2uUxil7yUAG8cqOZNVLZmYSiNTQ7wAB" TargetMode="External"/><Relationship Id="rId640" Type="http://schemas.openxmlformats.org/officeDocument/2006/relationships/hyperlink" Target="https://drive.google.com/open?id=1V03LuSYahcwbj-Rs7bZ5nxH0bnMu-Hn_" TargetMode="External"/><Relationship Id="rId882" Type="http://schemas.openxmlformats.org/officeDocument/2006/relationships/hyperlink" Target="https://drive.google.com/open?id=1HGCyOyNa0yOZCET92pXQTMR8_12kiKcN" TargetMode="External"/><Relationship Id="rId881" Type="http://schemas.openxmlformats.org/officeDocument/2006/relationships/hyperlink" Target="https://drive.google.com/open?id=1S0BuPN7vJjdLcanamHPRUSxvBFrR2f6s" TargetMode="External"/><Relationship Id="rId635" Type="http://schemas.openxmlformats.org/officeDocument/2006/relationships/hyperlink" Target="https://drive.google.com/open?id=1y5CnsVsVtIqgH7VrHz9qaVwdpkGtTyYD" TargetMode="External"/><Relationship Id="rId877" Type="http://schemas.openxmlformats.org/officeDocument/2006/relationships/hyperlink" Target="https://drive.google.com/open?id=1eEJadFn9ZwBFn6zKivzrZ-uW7aMw_ALe" TargetMode="External"/><Relationship Id="rId634" Type="http://schemas.openxmlformats.org/officeDocument/2006/relationships/hyperlink" Target="https://drive.google.com/open?id=1lq4Um9D2ZbDV-l5kQeoSw0L3IKBg8AvN" TargetMode="External"/><Relationship Id="rId876" Type="http://schemas.openxmlformats.org/officeDocument/2006/relationships/hyperlink" Target="https://drive.google.com/open?id=1HWSlgimYeRQMs-JyPPEH6uS4COpQVc1G" TargetMode="External"/><Relationship Id="rId633" Type="http://schemas.openxmlformats.org/officeDocument/2006/relationships/hyperlink" Target="https://drive.google.com/open?id=1JJlefcwZmQYGQSIC9jsseIlEqJt3kdqR" TargetMode="External"/><Relationship Id="rId875" Type="http://schemas.openxmlformats.org/officeDocument/2006/relationships/hyperlink" Target="https://drive.google.com/open?id=1CRBZvU4eMWrXzY5kbgOqhtwTS3bsEUey" TargetMode="External"/><Relationship Id="rId632" Type="http://schemas.openxmlformats.org/officeDocument/2006/relationships/hyperlink" Target="https://drive.google.com/open?id=1zhMRbWkFdv8dQMMI5gKUpDUMwJgoSsdn" TargetMode="External"/><Relationship Id="rId874" Type="http://schemas.openxmlformats.org/officeDocument/2006/relationships/hyperlink" Target="https://drive.google.com/open?id=1hxjiffuH_B-JxCEheIrsg2vcBk71jVL8" TargetMode="External"/><Relationship Id="rId639" Type="http://schemas.openxmlformats.org/officeDocument/2006/relationships/hyperlink" Target="https://drive.google.com/open?id=15ktz0_yMNcmy0hKLIdcuab1GlHPY9sIQ" TargetMode="External"/><Relationship Id="rId638" Type="http://schemas.openxmlformats.org/officeDocument/2006/relationships/hyperlink" Target="https://drive.google.com/open?id=1QCOfojMpYmvetN8PJGsqCeSl2uaQ_Kxb" TargetMode="External"/><Relationship Id="rId637" Type="http://schemas.openxmlformats.org/officeDocument/2006/relationships/hyperlink" Target="https://drive.google.com/open?id=1pxJ_dD9vDXHgRmMoq98tHC4Lrz67pm_W" TargetMode="External"/><Relationship Id="rId879" Type="http://schemas.openxmlformats.org/officeDocument/2006/relationships/hyperlink" Target="https://drive.google.com/open?id=1kFhnq5YswU5XzldE6AqLXUKmiuej7oIp" TargetMode="External"/><Relationship Id="rId636" Type="http://schemas.openxmlformats.org/officeDocument/2006/relationships/hyperlink" Target="https://drive.google.com/open?id=1BO_-MbGKSZCcBws9UBoHNR1KM8kJAxJN" TargetMode="External"/><Relationship Id="rId878" Type="http://schemas.openxmlformats.org/officeDocument/2006/relationships/hyperlink" Target="https://drive.google.com/open?id=1Gof-RS1JdauWBDGTjVaRAlohVS-tv_87" TargetMode="External"/><Relationship Id="rId631" Type="http://schemas.openxmlformats.org/officeDocument/2006/relationships/hyperlink" Target="https://drive.google.com/open?id=1bWvnuFb7rCCiGqzGIRo4KbxKvKaTgi4L" TargetMode="External"/><Relationship Id="rId873" Type="http://schemas.openxmlformats.org/officeDocument/2006/relationships/hyperlink" Target="https://drive.google.com/open?id=1-ThJLVrEd83eeDgCXfPuR3PG9LAUiN_C" TargetMode="External"/><Relationship Id="rId630" Type="http://schemas.openxmlformats.org/officeDocument/2006/relationships/hyperlink" Target="https://drive.google.com/open?id=1HjOvBEscheUqCygfYpozshuZA8Utcf7h" TargetMode="External"/><Relationship Id="rId872" Type="http://schemas.openxmlformats.org/officeDocument/2006/relationships/hyperlink" Target="https://drive.google.com/open?id=1HYU4jKq6GZgLG650gvFxpqoPHkmas3Jg" TargetMode="External"/><Relationship Id="rId871" Type="http://schemas.openxmlformats.org/officeDocument/2006/relationships/hyperlink" Target="https://drive.google.com/open?id=1hEKBqD9G0AxnkbjOIMz5AWyZwNdtJD2A" TargetMode="External"/><Relationship Id="rId870" Type="http://schemas.openxmlformats.org/officeDocument/2006/relationships/hyperlink" Target="https://drive.google.com/open?id=1P1dO9ZBBXWd5R5N-FipyS4IdlfHf_ouO" TargetMode="External"/><Relationship Id="rId829" Type="http://schemas.openxmlformats.org/officeDocument/2006/relationships/hyperlink" Target="https://drive.google.com/open?id=1qG8udWLa9BapK810BvF7qpRhsOy9lCqT" TargetMode="External"/><Relationship Id="rId828" Type="http://schemas.openxmlformats.org/officeDocument/2006/relationships/hyperlink" Target="https://drive.google.com/open?id=1FYD8-sgCRu43ASu2i7_W4z17BBVKX1dX" TargetMode="External"/><Relationship Id="rId827" Type="http://schemas.openxmlformats.org/officeDocument/2006/relationships/hyperlink" Target="https://drive.google.com/open?id=1Tk-IsFhmtfygQkQ16ZCUKSs0CV2tFI2p" TargetMode="External"/><Relationship Id="rId822" Type="http://schemas.openxmlformats.org/officeDocument/2006/relationships/hyperlink" Target="https://drive.google.com/open?id=1QHy_Eq7Z1hhaHOUdcB77pCAskzjRnqS0" TargetMode="External"/><Relationship Id="rId821" Type="http://schemas.openxmlformats.org/officeDocument/2006/relationships/hyperlink" Target="https://drive.google.com/open?id=10WXo9k-i7ZHVvLbdvrJqSGv46S6GKB-5" TargetMode="External"/><Relationship Id="rId820" Type="http://schemas.openxmlformats.org/officeDocument/2006/relationships/hyperlink" Target="https://drive.google.com/open?id=1A9JKbhxOlVmaxnb5zlJORzwrB2Xm7TSr" TargetMode="External"/><Relationship Id="rId826" Type="http://schemas.openxmlformats.org/officeDocument/2006/relationships/hyperlink" Target="https://drive.google.com/open?id=1P11JwPmPvY7T1b_UMQWxK1NMNlHd-Uxs" TargetMode="External"/><Relationship Id="rId825" Type="http://schemas.openxmlformats.org/officeDocument/2006/relationships/hyperlink" Target="https://drive.google.com/open?id=1mofbcTU7-coqvX4j29tZta4mvh6nYhRv" TargetMode="External"/><Relationship Id="rId824" Type="http://schemas.openxmlformats.org/officeDocument/2006/relationships/hyperlink" Target="https://drive.google.com/open?id=1svrxWpVo3EeBMu50fsB3rnRzuEFDHgTa" TargetMode="External"/><Relationship Id="rId823" Type="http://schemas.openxmlformats.org/officeDocument/2006/relationships/hyperlink" Target="https://drive.google.com/open?id=1xVfNmLQpdkP718PM3Nny4uC0eLejAhxv" TargetMode="External"/><Relationship Id="rId819" Type="http://schemas.openxmlformats.org/officeDocument/2006/relationships/hyperlink" Target="https://drive.google.com/open?id=1a3xlgFPHkjBCuvFNzgknd9BVnnSTcyug" TargetMode="External"/><Relationship Id="rId818" Type="http://schemas.openxmlformats.org/officeDocument/2006/relationships/hyperlink" Target="https://drive.google.com/open?id=1pgcRAEswCh7J3SNgNyaNJuxij8_J_YpB" TargetMode="External"/><Relationship Id="rId817" Type="http://schemas.openxmlformats.org/officeDocument/2006/relationships/hyperlink" Target="https://drive.google.com/open?id=1-Wo7Wl0F7Z3yu8BqfNriIG_1r_bOlxZ0" TargetMode="External"/><Relationship Id="rId816" Type="http://schemas.openxmlformats.org/officeDocument/2006/relationships/hyperlink" Target="https://drive.google.com/open?id=1ATRmyiOPoYZF8bL_Uw_0mVh3Rzs5WXXD" TargetMode="External"/><Relationship Id="rId811" Type="http://schemas.openxmlformats.org/officeDocument/2006/relationships/hyperlink" Target="https://drive.google.com/open?id=1ZYiq2UGb8-BQHNMUSFVh6nZiuKFcPwX-" TargetMode="External"/><Relationship Id="rId810" Type="http://schemas.openxmlformats.org/officeDocument/2006/relationships/hyperlink" Target="https://drive.google.com/open?id=12var_5t6QfUbNywYyPNnYkIcCYpziUSU" TargetMode="External"/><Relationship Id="rId815" Type="http://schemas.openxmlformats.org/officeDocument/2006/relationships/hyperlink" Target="https://drive.google.com/open?id=1GJtIWMR2NcQyUI-xF6bpO5VPAqc02R-b" TargetMode="External"/><Relationship Id="rId814" Type="http://schemas.openxmlformats.org/officeDocument/2006/relationships/hyperlink" Target="https://drive.google.com/open?id=159fA0fzlUzfKmAc0avX9EJQI7Fk8xXN6" TargetMode="External"/><Relationship Id="rId813" Type="http://schemas.openxmlformats.org/officeDocument/2006/relationships/hyperlink" Target="https://drive.google.com/open?id=1xhc89Udp76jBeM6m-Q-lDb_hUacdBib2" TargetMode="External"/><Relationship Id="rId812" Type="http://schemas.openxmlformats.org/officeDocument/2006/relationships/hyperlink" Target="https://drive.google.com/open?id=1QIooWiaHEmRh-iZvwPw_vsFATlpbkYpS" TargetMode="External"/><Relationship Id="rId609" Type="http://schemas.openxmlformats.org/officeDocument/2006/relationships/hyperlink" Target="https://drive.google.com/open?id=1lr3xD_i9ASVDsvgs7U2Cmn6GouPmwB1l" TargetMode="External"/><Relationship Id="rId608" Type="http://schemas.openxmlformats.org/officeDocument/2006/relationships/hyperlink" Target="https://drive.google.com/open?id=1jc4qnTAqf2ZTNWILsFU1_upmRn_Vu7PX" TargetMode="External"/><Relationship Id="rId607" Type="http://schemas.openxmlformats.org/officeDocument/2006/relationships/hyperlink" Target="https://drive.google.com/open?id=14Jq2ukddK3cGk72kCGAv7BhHY8CzvEC2" TargetMode="External"/><Relationship Id="rId849" Type="http://schemas.openxmlformats.org/officeDocument/2006/relationships/hyperlink" Target="https://drive.google.com/open?id=1-pNzls2VbWGKjjrszCSaWXaFypBHzFB_" TargetMode="External"/><Relationship Id="rId602" Type="http://schemas.openxmlformats.org/officeDocument/2006/relationships/hyperlink" Target="https://drive.google.com/open?id=1mfoeNnVuPhb8PU-yx7U7wkqE26R4bl4-" TargetMode="External"/><Relationship Id="rId844" Type="http://schemas.openxmlformats.org/officeDocument/2006/relationships/hyperlink" Target="https://drive.google.com/open?id=1RjYO5IQjjw4Stu_zJ0l9jCs77EOsmeQL" TargetMode="External"/><Relationship Id="rId601" Type="http://schemas.openxmlformats.org/officeDocument/2006/relationships/hyperlink" Target="https://drive.google.com/open?id=1i0HgCuqncjtpVT-f2RSr-6jE1LEJkpYu" TargetMode="External"/><Relationship Id="rId843" Type="http://schemas.openxmlformats.org/officeDocument/2006/relationships/hyperlink" Target="https://drive.google.com/open?id=1HJfB5wpk4D62XQDVh9XRjP6NJJkRH3P9" TargetMode="External"/><Relationship Id="rId600" Type="http://schemas.openxmlformats.org/officeDocument/2006/relationships/hyperlink" Target="https://drive.google.com/open?id=1aJ0G6p5OTdlelxFAjWMDxaHPWdBqa33z" TargetMode="External"/><Relationship Id="rId842" Type="http://schemas.openxmlformats.org/officeDocument/2006/relationships/hyperlink" Target="https://drive.google.com/open?id=16N6lsl4KRs1ao6Smao3OlxDtNJnS_qOl" TargetMode="External"/><Relationship Id="rId841" Type="http://schemas.openxmlformats.org/officeDocument/2006/relationships/hyperlink" Target="https://drive.google.com/open?id=1keSdM9c66izyDNszgJ-kWyPqe4inoxYq" TargetMode="External"/><Relationship Id="rId606" Type="http://schemas.openxmlformats.org/officeDocument/2006/relationships/hyperlink" Target="https://drive.google.com/open?id=1GLZdwP8A8fBEpN0cRb1L6mZUQDaPGujT" TargetMode="External"/><Relationship Id="rId848" Type="http://schemas.openxmlformats.org/officeDocument/2006/relationships/hyperlink" Target="https://drive.google.com/open?id=1DGl4umIObTxOq4zY8jDuJ_D2it0vk9hn" TargetMode="External"/><Relationship Id="rId605" Type="http://schemas.openxmlformats.org/officeDocument/2006/relationships/hyperlink" Target="https://drive.google.com/open?id=17SIi5Jp5UzgzD4hYTb8y7lAa6YrE5RKb" TargetMode="External"/><Relationship Id="rId847" Type="http://schemas.openxmlformats.org/officeDocument/2006/relationships/hyperlink" Target="https://drive.google.com/open?id=1lwFiQ4XOT8w6tUy24lGMS5u-utAX2hay" TargetMode="External"/><Relationship Id="rId604" Type="http://schemas.openxmlformats.org/officeDocument/2006/relationships/hyperlink" Target="https://drive.google.com/open?id=1oIOUzU-6syELylsqkEmcThJ9uVPW2xQr" TargetMode="External"/><Relationship Id="rId846" Type="http://schemas.openxmlformats.org/officeDocument/2006/relationships/hyperlink" Target="https://drive.google.com/open?id=1eEK0l5Q1_yrqT8ycJJ1QiWt7X8sLSQG_" TargetMode="External"/><Relationship Id="rId603" Type="http://schemas.openxmlformats.org/officeDocument/2006/relationships/hyperlink" Target="https://drive.google.com/open?id=1qrUB4FZV--RaWqHMdvQIbfObLVSYEf5w" TargetMode="External"/><Relationship Id="rId845" Type="http://schemas.openxmlformats.org/officeDocument/2006/relationships/hyperlink" Target="https://drive.google.com/open?id=17CzM1BeYO5BYDEJp35ayHAKrFop8iBg2" TargetMode="External"/><Relationship Id="rId840" Type="http://schemas.openxmlformats.org/officeDocument/2006/relationships/hyperlink" Target="https://drive.google.com/open?id=1PLjiPj1_ZQT8o34i5OE-UNKlsaQjw061" TargetMode="External"/><Relationship Id="rId839" Type="http://schemas.openxmlformats.org/officeDocument/2006/relationships/hyperlink" Target="https://drive.google.com/open?id=1QcypxLLH0zWD9Q7XSQiRXXVDxdiWXYc6" TargetMode="External"/><Relationship Id="rId838" Type="http://schemas.openxmlformats.org/officeDocument/2006/relationships/hyperlink" Target="https://drive.google.com/open?id=1gKVg4a5XPT3x-hnePd3tQN9cbJvCZH87" TargetMode="External"/><Relationship Id="rId833" Type="http://schemas.openxmlformats.org/officeDocument/2006/relationships/hyperlink" Target="https://drive.google.com/open?id=14vTxzX-k0mqjhVyCeLxdWMecDCi5bfHd" TargetMode="External"/><Relationship Id="rId832" Type="http://schemas.openxmlformats.org/officeDocument/2006/relationships/hyperlink" Target="https://drive.google.com/open?id=1izrXTIAI915G0DjW0qTJxquEJA4vi8gb" TargetMode="External"/><Relationship Id="rId831" Type="http://schemas.openxmlformats.org/officeDocument/2006/relationships/hyperlink" Target="https://drive.google.com/open?id=1UZOWID1akFNlcrBKuE1ueyonr-ze3Obr" TargetMode="External"/><Relationship Id="rId830" Type="http://schemas.openxmlformats.org/officeDocument/2006/relationships/hyperlink" Target="https://drive.google.com/open?id=1bN0oJHzcIHO7bsjHo3-_V0ZygHHu0dsF" TargetMode="External"/><Relationship Id="rId837" Type="http://schemas.openxmlformats.org/officeDocument/2006/relationships/hyperlink" Target="https://drive.google.com/open?id=10jhcHOse42U2LsIH2t9MtssAWSTRPQRA" TargetMode="External"/><Relationship Id="rId836" Type="http://schemas.openxmlformats.org/officeDocument/2006/relationships/hyperlink" Target="https://drive.google.com/open?id=10Zy2ps6hGLyBIJeyHqSr8lQCEAX74hCi" TargetMode="External"/><Relationship Id="rId835" Type="http://schemas.openxmlformats.org/officeDocument/2006/relationships/hyperlink" Target="https://drive.google.com/open?id=1lUSP8LQm6kOtGKOerpb6_QmBB1u44ClB" TargetMode="External"/><Relationship Id="rId834" Type="http://schemas.openxmlformats.org/officeDocument/2006/relationships/hyperlink" Target="https://drive.google.com/open?id=1p9krsrcS_ayDR1hcuVp9auGVz0tCLoRk" TargetMode="External"/><Relationship Id="rId1059" Type="http://schemas.openxmlformats.org/officeDocument/2006/relationships/hyperlink" Target="https://drive.google.com/open?id=1SPzPQEbJgSuA4v9mG0P2UfZ91MrpFD6g" TargetMode="External"/><Relationship Id="rId228" Type="http://schemas.openxmlformats.org/officeDocument/2006/relationships/hyperlink" Target="https://drive.google.com/open?id=1X8NHm6OPR94u4Ns-sAIlghrBkKQIBkmh" TargetMode="External"/><Relationship Id="rId227" Type="http://schemas.openxmlformats.org/officeDocument/2006/relationships/hyperlink" Target="https://drive.google.com/open?id=1kaTUs2XguPNnZtVdg-0npfsIYitscAPr" TargetMode="External"/><Relationship Id="rId469" Type="http://schemas.openxmlformats.org/officeDocument/2006/relationships/hyperlink" Target="https://drive.google.com/open?id=1adPIWy4P222K2XIzySLt7S_39-3dk9cb" TargetMode="External"/><Relationship Id="rId226" Type="http://schemas.openxmlformats.org/officeDocument/2006/relationships/hyperlink" Target="https://drive.google.com/open?id=1027pxdYu_2ysMhidvAjdPuIKdnoalYgU" TargetMode="External"/><Relationship Id="rId468" Type="http://schemas.openxmlformats.org/officeDocument/2006/relationships/hyperlink" Target="https://drive.google.com/open?id=1Y3MeLUU6Re9CLPklOX1d2CItL0m9ZNNl" TargetMode="External"/><Relationship Id="rId225" Type="http://schemas.openxmlformats.org/officeDocument/2006/relationships/hyperlink" Target="https://drive.google.com/open?id=1dOtCAma7cRmynD7RMBF6YSRhjroyjfs4" TargetMode="External"/><Relationship Id="rId467" Type="http://schemas.openxmlformats.org/officeDocument/2006/relationships/hyperlink" Target="https://drive.google.com/open?id=15V0nrPjy7rpQhfV1rjiOQCECiu-aPBuD" TargetMode="External"/><Relationship Id="rId229" Type="http://schemas.openxmlformats.org/officeDocument/2006/relationships/hyperlink" Target="https://drive.google.com/open?id=1B0_T7kWXX2LfXupoJetxCNJffw4nTj4h" TargetMode="External"/><Relationship Id="rId1050" Type="http://schemas.openxmlformats.org/officeDocument/2006/relationships/hyperlink" Target="https://drive.google.com/open?id=10Giv1XZ8ISnD-FUHIKK2O2xsauGpe6XE" TargetMode="External"/><Relationship Id="rId220" Type="http://schemas.openxmlformats.org/officeDocument/2006/relationships/hyperlink" Target="https://drive.google.com/open?id=10RaWJXHDX2k0kswA9zCialP8fBiWYl8e" TargetMode="External"/><Relationship Id="rId462" Type="http://schemas.openxmlformats.org/officeDocument/2006/relationships/hyperlink" Target="https://drive.google.com/open?id=1IictuntbBLnEJd7JyymnbZkqcHWexgXI" TargetMode="External"/><Relationship Id="rId1051" Type="http://schemas.openxmlformats.org/officeDocument/2006/relationships/hyperlink" Target="https://drive.google.com/open?id=1ZFWTkFy0SqW6AuzhSBtMs15gmi93Vn1w" TargetMode="External"/><Relationship Id="rId461" Type="http://schemas.openxmlformats.org/officeDocument/2006/relationships/hyperlink" Target="https://drive.google.com/open?id=1lSTFr3zUdZGhWBgfJC_lnSHzFcVmXZbP" TargetMode="External"/><Relationship Id="rId1052" Type="http://schemas.openxmlformats.org/officeDocument/2006/relationships/hyperlink" Target="https://drive.google.com/open?id=1tblnvsy7V_eeK8REceVd2XhOFXGuQDWd" TargetMode="External"/><Relationship Id="rId460" Type="http://schemas.openxmlformats.org/officeDocument/2006/relationships/hyperlink" Target="https://drive.google.com/open?id=1K4unIUXUM3g4MlQ0SvZfn4fMZfJQf8oj" TargetMode="External"/><Relationship Id="rId1053" Type="http://schemas.openxmlformats.org/officeDocument/2006/relationships/hyperlink" Target="https://drive.google.com/open?id=1RlOpJEm8ofct5timSYMFlt1rNSX0aXBA" TargetMode="External"/><Relationship Id="rId1054" Type="http://schemas.openxmlformats.org/officeDocument/2006/relationships/hyperlink" Target="https://drive.google.com/open?id=1bdKbl-eyqe8HFVvOXN4AN43wYnocTmod" TargetMode="External"/><Relationship Id="rId224" Type="http://schemas.openxmlformats.org/officeDocument/2006/relationships/hyperlink" Target="https://drive.google.com/open?id=1oC1n8ihD9GXUp-ijKuB_2WW2b9-HCpJg" TargetMode="External"/><Relationship Id="rId466" Type="http://schemas.openxmlformats.org/officeDocument/2006/relationships/hyperlink" Target="https://drive.google.com/open?id=1_BPrOZRa_xKUwCT48Bh7P6kGo58glTGR" TargetMode="External"/><Relationship Id="rId1055" Type="http://schemas.openxmlformats.org/officeDocument/2006/relationships/hyperlink" Target="https://drive.google.com/open?id=1d0LsUXNfizhT_DdhdXZ7lgxDX6QWEaAQ" TargetMode="External"/><Relationship Id="rId223" Type="http://schemas.openxmlformats.org/officeDocument/2006/relationships/hyperlink" Target="https://drive.google.com/open?id=1U-RilbaoxoEMScV_UUXFSEc-DotbIk0r" TargetMode="External"/><Relationship Id="rId465" Type="http://schemas.openxmlformats.org/officeDocument/2006/relationships/hyperlink" Target="https://drive.google.com/open?id=1vju1mTXzs1bTlDb55Qe75XKzif4wCWNx" TargetMode="External"/><Relationship Id="rId1056" Type="http://schemas.openxmlformats.org/officeDocument/2006/relationships/hyperlink" Target="https://drive.google.com/open?id=1V0RLsshcbPnVsZ2_tmWop5hsAkVAxtAM" TargetMode="External"/><Relationship Id="rId222" Type="http://schemas.openxmlformats.org/officeDocument/2006/relationships/hyperlink" Target="https://drive.google.com/open?id=15KOYcEYOWXc8lsHcwWCAuc9ymsfXbX-x" TargetMode="External"/><Relationship Id="rId464" Type="http://schemas.openxmlformats.org/officeDocument/2006/relationships/hyperlink" Target="https://drive.google.com/open?id=1Zx7pUsLYJ2VF7tvMlg8HK6ddXxoi7kYO" TargetMode="External"/><Relationship Id="rId1057" Type="http://schemas.openxmlformats.org/officeDocument/2006/relationships/hyperlink" Target="https://drive.google.com/open?id=1Y9HypKMoyK4jtoK018cY-DiJrZcOaKUr" TargetMode="External"/><Relationship Id="rId221" Type="http://schemas.openxmlformats.org/officeDocument/2006/relationships/hyperlink" Target="https://drive.google.com/open?id=12s6-v-Lqgc0yuhA1Apj6tvw0hLL4xtzH" TargetMode="External"/><Relationship Id="rId463" Type="http://schemas.openxmlformats.org/officeDocument/2006/relationships/hyperlink" Target="https://drive.google.com/open?id=1oOeqqabkOuHMaVcW-XBgfa1fNaE4o5CP" TargetMode="External"/><Relationship Id="rId1058" Type="http://schemas.openxmlformats.org/officeDocument/2006/relationships/hyperlink" Target="https://drive.google.com/open?id=10HznNW7UBxz1q8l_1rTim23LX_on83jv" TargetMode="External"/><Relationship Id="rId1048" Type="http://schemas.openxmlformats.org/officeDocument/2006/relationships/hyperlink" Target="https://drive.google.com/open?id=1_tD0mxEcrlbuLrIMTVYoJc_zWA4SI3Dp" TargetMode="External"/><Relationship Id="rId1049" Type="http://schemas.openxmlformats.org/officeDocument/2006/relationships/hyperlink" Target="https://drive.google.com/open?id=1XMWLLwp8sYDmiZfqc4ml80Iy5XFmhoHG" TargetMode="External"/><Relationship Id="rId217" Type="http://schemas.openxmlformats.org/officeDocument/2006/relationships/hyperlink" Target="https://drive.google.com/open?id=1ywqAUxv5J8VpUlazwAk1qrgarn1PHh_G" TargetMode="External"/><Relationship Id="rId459" Type="http://schemas.openxmlformats.org/officeDocument/2006/relationships/hyperlink" Target="https://drive.google.com/open?id=1YyU2HxL4V0evhw0H1fvyqRG2QwrPIDau" TargetMode="External"/><Relationship Id="rId216" Type="http://schemas.openxmlformats.org/officeDocument/2006/relationships/hyperlink" Target="https://drive.google.com/open?id=1f1jiw1EW67xE7i7BGzSro8dzvwqRPnnL" TargetMode="External"/><Relationship Id="rId458" Type="http://schemas.openxmlformats.org/officeDocument/2006/relationships/hyperlink" Target="https://drive.google.com/open?id=18eLc4UR057W5ABdk5HJAQaHeI1ZcwuqX" TargetMode="External"/><Relationship Id="rId215" Type="http://schemas.openxmlformats.org/officeDocument/2006/relationships/hyperlink" Target="https://drive.google.com/open?id=1gFT3mgXQsW40Ti04pLiHKEE1-qczsyee" TargetMode="External"/><Relationship Id="rId457" Type="http://schemas.openxmlformats.org/officeDocument/2006/relationships/hyperlink" Target="https://drive.google.com/open?id=1Zfm1idkueo7EjdBQb1kxqA8crhBjnWIT" TargetMode="External"/><Relationship Id="rId699" Type="http://schemas.openxmlformats.org/officeDocument/2006/relationships/hyperlink" Target="https://drive.google.com/open?id=1EVv6uzjo0ezClIA4aA3PV-LoIAoCOVZ8" TargetMode="External"/><Relationship Id="rId214" Type="http://schemas.openxmlformats.org/officeDocument/2006/relationships/hyperlink" Target="https://drive.google.com/open?id=1HmnApx6jfk971E2d4gmzvlT4UgllMlHM" TargetMode="External"/><Relationship Id="rId456" Type="http://schemas.openxmlformats.org/officeDocument/2006/relationships/hyperlink" Target="https://drive.google.com/open?id=17v10QCZFMZY-TApGx5xQYvofa1MOdKCF" TargetMode="External"/><Relationship Id="rId698" Type="http://schemas.openxmlformats.org/officeDocument/2006/relationships/hyperlink" Target="https://drive.google.com/open?id=1m41PoBHo6_vKVvtBYXYL73g0jBdGQmgk" TargetMode="External"/><Relationship Id="rId219" Type="http://schemas.openxmlformats.org/officeDocument/2006/relationships/hyperlink" Target="https://drive.google.com/open?id=1WQ_USx67-uGNsIe757FJakGKM3TVZa3I" TargetMode="External"/><Relationship Id="rId218" Type="http://schemas.openxmlformats.org/officeDocument/2006/relationships/hyperlink" Target="https://drive.google.com/open?id=1CSNqSqqkqy0dX30H8ZcUmEJUO5HZSKBV" TargetMode="External"/><Relationship Id="rId451" Type="http://schemas.openxmlformats.org/officeDocument/2006/relationships/hyperlink" Target="https://drive.google.com/open?id=1PBLYzyfsjWgaMO1J7ABKFPQiMLPm8Sc0" TargetMode="External"/><Relationship Id="rId693" Type="http://schemas.openxmlformats.org/officeDocument/2006/relationships/hyperlink" Target="https://drive.google.com/open?id=1zOgSpeicH2uQwvIhtmqJAcInIOfQbsv6" TargetMode="External"/><Relationship Id="rId1040" Type="http://schemas.openxmlformats.org/officeDocument/2006/relationships/hyperlink" Target="https://drive.google.com/open?id=1sr1cXDmoJaUSyeDbYTB4nT8toZYXLr3U" TargetMode="External"/><Relationship Id="rId450" Type="http://schemas.openxmlformats.org/officeDocument/2006/relationships/hyperlink" Target="https://drive.google.com/open?id=1hX0fn0IoCFzmi9WGRYWyMouh94_kos_C" TargetMode="External"/><Relationship Id="rId692" Type="http://schemas.openxmlformats.org/officeDocument/2006/relationships/hyperlink" Target="https://drive.google.com/open?id=1F4WPIoxEqRJTCZvih0p8U343lxzd2y2I" TargetMode="External"/><Relationship Id="rId1041" Type="http://schemas.openxmlformats.org/officeDocument/2006/relationships/hyperlink" Target="https://drive.google.com/open?id=1rj7Z23xk2kzuzKcv85XGZt0I7wigF3Pw" TargetMode="External"/><Relationship Id="rId691" Type="http://schemas.openxmlformats.org/officeDocument/2006/relationships/hyperlink" Target="https://drive.google.com/open?id=1dHet1PN0sXbxHCSR6PABpn3_GEHRR8CO" TargetMode="External"/><Relationship Id="rId1042" Type="http://schemas.openxmlformats.org/officeDocument/2006/relationships/hyperlink" Target="https://drive.google.com/open?id=1qldvN1xEFAzfMmri1qqQH2EeHoEgBbkk" TargetMode="External"/><Relationship Id="rId690" Type="http://schemas.openxmlformats.org/officeDocument/2006/relationships/hyperlink" Target="https://drive.google.com/open?id=1SjwOC27n4tm_bUBirrtfcqk0NblEPXGW" TargetMode="External"/><Relationship Id="rId1043" Type="http://schemas.openxmlformats.org/officeDocument/2006/relationships/hyperlink" Target="https://drive.google.com/open?id=1ccOL6O0qsZ-h7GEBmipzs5VF9_fU9UdS" TargetMode="External"/><Relationship Id="rId213" Type="http://schemas.openxmlformats.org/officeDocument/2006/relationships/hyperlink" Target="https://drive.google.com/open?id=1dNITfnD8xHpGuoqEQ2blpmRQfVtzqciQ" TargetMode="External"/><Relationship Id="rId455" Type="http://schemas.openxmlformats.org/officeDocument/2006/relationships/hyperlink" Target="https://drive.google.com/open?id=1lRwtKvPQX3cfYlhGnB3hHfW4ELFStGdy" TargetMode="External"/><Relationship Id="rId697" Type="http://schemas.openxmlformats.org/officeDocument/2006/relationships/hyperlink" Target="https://drive.google.com/open?id=1m2YN2lH8M6B1s576tw4q7exKt1BMWcuN" TargetMode="External"/><Relationship Id="rId1044" Type="http://schemas.openxmlformats.org/officeDocument/2006/relationships/hyperlink" Target="https://drive.google.com/open?id=1z4SVoYWE52ZAQ2h8WINT3YU4c1HJwC1W" TargetMode="External"/><Relationship Id="rId212" Type="http://schemas.openxmlformats.org/officeDocument/2006/relationships/hyperlink" Target="https://drive.google.com/open?id=19Cp1V9GPu1Dh4uhuEAYVwhAGAopzxe3i" TargetMode="External"/><Relationship Id="rId454" Type="http://schemas.openxmlformats.org/officeDocument/2006/relationships/hyperlink" Target="https://drive.google.com/open?id=1LCFjfwP8etb19BDDuCEoq1Z5gUJPpKm-" TargetMode="External"/><Relationship Id="rId696" Type="http://schemas.openxmlformats.org/officeDocument/2006/relationships/hyperlink" Target="https://drive.google.com/open?id=1kom67Xwbf2r6202ybwZTwIlGoUL91yQs" TargetMode="External"/><Relationship Id="rId1045" Type="http://schemas.openxmlformats.org/officeDocument/2006/relationships/hyperlink" Target="https://drive.google.com/open?id=1eNqXWrNDv_TnHPJ4gi2yqCPCrKy3kLYH" TargetMode="External"/><Relationship Id="rId211" Type="http://schemas.openxmlformats.org/officeDocument/2006/relationships/hyperlink" Target="https://drive.google.com/open?id=1zipv_16coacbZQfK5yYNFtFmarxzVRuN" TargetMode="External"/><Relationship Id="rId453" Type="http://schemas.openxmlformats.org/officeDocument/2006/relationships/hyperlink" Target="https://drive.google.com/open?id=1uMO7r6xbEpM71p-jC4QtfIwRxUwDnO2Y" TargetMode="External"/><Relationship Id="rId695" Type="http://schemas.openxmlformats.org/officeDocument/2006/relationships/hyperlink" Target="https://drive.google.com/open?id=1QHcq8CjmnD9JXzs0N1AsI_0EgIIg5CSy" TargetMode="External"/><Relationship Id="rId1046" Type="http://schemas.openxmlformats.org/officeDocument/2006/relationships/hyperlink" Target="https://drive.google.com/open?id=1pP1PFCL5MvYSTvJesoC3RTaMulxyzc1Y" TargetMode="External"/><Relationship Id="rId210" Type="http://schemas.openxmlformats.org/officeDocument/2006/relationships/hyperlink" Target="https://drive.google.com/open?id=1dyjPFFRBsRMIXBa0JLNrcjmYIgI8wMNl" TargetMode="External"/><Relationship Id="rId452" Type="http://schemas.openxmlformats.org/officeDocument/2006/relationships/hyperlink" Target="https://drive.google.com/open?id=1SkqhVpGvve4yjmeBkWVI0RcdF4s6OLvQ" TargetMode="External"/><Relationship Id="rId694" Type="http://schemas.openxmlformats.org/officeDocument/2006/relationships/hyperlink" Target="https://drive.google.com/open?id=1wJGKUsLqhYvzUA6w9WxTr4jPJ48m33dL" TargetMode="External"/><Relationship Id="rId1047" Type="http://schemas.openxmlformats.org/officeDocument/2006/relationships/hyperlink" Target="https://drive.google.com/open?id=1kmvtKpGqoZS-l2lGYqb5Kt_uG3Vhv2WQ" TargetMode="External"/><Relationship Id="rId491" Type="http://schemas.openxmlformats.org/officeDocument/2006/relationships/hyperlink" Target="https://drive.google.com/open?id=1734qkASzAXnmBnVw5QwEgNPnbqAXgrle" TargetMode="External"/><Relationship Id="rId490" Type="http://schemas.openxmlformats.org/officeDocument/2006/relationships/hyperlink" Target="https://drive.google.com/open?id=10ilJCoPwnOkzi5I3oYzh32-1AgKNpuzc" TargetMode="External"/><Relationship Id="rId249" Type="http://schemas.openxmlformats.org/officeDocument/2006/relationships/hyperlink" Target="https://drive.google.com/open?id=18rH3ZqFRqq7bbs2Pg0u8ThKuHg7Niw3O" TargetMode="External"/><Relationship Id="rId248" Type="http://schemas.openxmlformats.org/officeDocument/2006/relationships/hyperlink" Target="https://drive.google.com/open?id=1IQFLp4zTamiJOolWY-F5d7s5r7Y_PaiL" TargetMode="External"/><Relationship Id="rId247" Type="http://schemas.openxmlformats.org/officeDocument/2006/relationships/hyperlink" Target="https://drive.google.com/open?id=1_dLZx2XA1QCRo2TKNdyiX__iRNKKbVYy" TargetMode="External"/><Relationship Id="rId489" Type="http://schemas.openxmlformats.org/officeDocument/2006/relationships/hyperlink" Target="https://drive.google.com/open?id=1_pELk2f_WIrq8qo0dGFnSw-02PvOrlng" TargetMode="External"/><Relationship Id="rId1070" Type="http://schemas.openxmlformats.org/officeDocument/2006/relationships/hyperlink" Target="https://drive.google.com/open?id=1qOeb0Ri8k3_YJkeo0VbCslkOevyzc_GL" TargetMode="External"/><Relationship Id="rId1071" Type="http://schemas.openxmlformats.org/officeDocument/2006/relationships/hyperlink" Target="https://drive.google.com/open?id=1tAf5dKeVd7SNvoX4mqsub7sHd0AbC4OJ" TargetMode="External"/><Relationship Id="rId1072" Type="http://schemas.openxmlformats.org/officeDocument/2006/relationships/hyperlink" Target="https://drive.google.com/open?id=1VMd7uuzPN2QaEQcLnYsdCKKawxrlGuYa" TargetMode="External"/><Relationship Id="rId242" Type="http://schemas.openxmlformats.org/officeDocument/2006/relationships/hyperlink" Target="https://drive.google.com/open?id=1r73W9WKFESGTg9Pqx5MppddoeV6mOtFE" TargetMode="External"/><Relationship Id="rId484" Type="http://schemas.openxmlformats.org/officeDocument/2006/relationships/hyperlink" Target="https://drive.google.com/open?id=1C-56CBwjPEUmFitoXM7STYjqXbupa1vZ" TargetMode="External"/><Relationship Id="rId1073" Type="http://schemas.openxmlformats.org/officeDocument/2006/relationships/hyperlink" Target="https://drive.google.com/open?id=1DI-LFeWXAZKtDtjlLq7xntF8AWljNCZz" TargetMode="External"/><Relationship Id="rId241" Type="http://schemas.openxmlformats.org/officeDocument/2006/relationships/hyperlink" Target="https://drive.google.com/open?id=1Bmv9ci0WWb0df-GoZ15tAVrLi_H7S5tS" TargetMode="External"/><Relationship Id="rId483" Type="http://schemas.openxmlformats.org/officeDocument/2006/relationships/hyperlink" Target="https://drive.google.com/open?id=1LT4OI8p8fXl15M_3CBy0Wu91KjJ_6sLj" TargetMode="External"/><Relationship Id="rId1074" Type="http://schemas.openxmlformats.org/officeDocument/2006/relationships/drawing" Target="../drawings/drawing2.xml"/><Relationship Id="rId240" Type="http://schemas.openxmlformats.org/officeDocument/2006/relationships/hyperlink" Target="https://drive.google.com/open?id=1DcmjoNPC1XX2eMkAvvswQi0Hk3Hq-FrB" TargetMode="External"/><Relationship Id="rId482" Type="http://schemas.openxmlformats.org/officeDocument/2006/relationships/hyperlink" Target="https://drive.google.com/open?id=1-CpygJqzSXtKIPswkZBz0XOhYFrJal4r" TargetMode="External"/><Relationship Id="rId481" Type="http://schemas.openxmlformats.org/officeDocument/2006/relationships/hyperlink" Target="https://drive.google.com/open?id=1ip9sMrzm1JjbO-QrLlYZ0AWREuKWliG8" TargetMode="External"/><Relationship Id="rId1076" Type="http://schemas.openxmlformats.org/officeDocument/2006/relationships/table" Target="../tables/table1.xml"/><Relationship Id="rId246" Type="http://schemas.openxmlformats.org/officeDocument/2006/relationships/hyperlink" Target="https://drive.google.com/open?id=1yXTkAdrU7cQwbfc2W60hugmOodP1qKu_" TargetMode="External"/><Relationship Id="rId488" Type="http://schemas.openxmlformats.org/officeDocument/2006/relationships/hyperlink" Target="https://drive.google.com/open?id=1VA0-ufVy4ocKpkmFpUGPvdhUKqgaJ5FC" TargetMode="External"/><Relationship Id="rId245" Type="http://schemas.openxmlformats.org/officeDocument/2006/relationships/hyperlink" Target="https://drive.google.com/open?id=1Pd6NhprzMrskSbpyFJ-nPVLFV-bgQ5J3" TargetMode="External"/><Relationship Id="rId487" Type="http://schemas.openxmlformats.org/officeDocument/2006/relationships/hyperlink" Target="https://drive.google.com/open?id=1KZtBbuCqwranFZtAi-PpQwsQokmEy86F" TargetMode="External"/><Relationship Id="rId244" Type="http://schemas.openxmlformats.org/officeDocument/2006/relationships/hyperlink" Target="https://drive.google.com/open?id=10ul78cReRB5eNCOxnbVYDwlSl9mYFL3P" TargetMode="External"/><Relationship Id="rId486" Type="http://schemas.openxmlformats.org/officeDocument/2006/relationships/hyperlink" Target="https://drive.google.com/open?id=1aNfD68g5QwnDY0V7aDqPv_PQ7LRIicO-" TargetMode="External"/><Relationship Id="rId243" Type="http://schemas.openxmlformats.org/officeDocument/2006/relationships/hyperlink" Target="https://drive.google.com/open?id=1P_GX0IEnObf0lRGSvgzbBbIj0vklxk3_" TargetMode="External"/><Relationship Id="rId485" Type="http://schemas.openxmlformats.org/officeDocument/2006/relationships/hyperlink" Target="https://drive.google.com/open?id=1y-AQzT3tAIsBuQldHDEJKQYqTLuY2XM6" TargetMode="External"/><Relationship Id="rId480" Type="http://schemas.openxmlformats.org/officeDocument/2006/relationships/hyperlink" Target="https://drive.google.com/open?id=1bTArrXPzgNMz4DrPs1pT6Dx9wpN08Thh" TargetMode="External"/><Relationship Id="rId239" Type="http://schemas.openxmlformats.org/officeDocument/2006/relationships/hyperlink" Target="https://drive.google.com/open?id=1LQY2stskx1fPUKvYdxSd604fWc5LtaDy" TargetMode="External"/><Relationship Id="rId238" Type="http://schemas.openxmlformats.org/officeDocument/2006/relationships/hyperlink" Target="https://drive.google.com/open?id=1GhszfX7XXFdmDbzOtIHXr17SMc-6IDv9" TargetMode="External"/><Relationship Id="rId237" Type="http://schemas.openxmlformats.org/officeDocument/2006/relationships/hyperlink" Target="https://drive.google.com/open?id=1gSYCjM_BmfEgEtPkBXczNvTyWNOzZUhc" TargetMode="External"/><Relationship Id="rId479" Type="http://schemas.openxmlformats.org/officeDocument/2006/relationships/hyperlink" Target="https://drive.google.com/open?id=1dAnCVZ50dpWn3GDat0KlHpGzfRwsB-n5" TargetMode="External"/><Relationship Id="rId236" Type="http://schemas.openxmlformats.org/officeDocument/2006/relationships/hyperlink" Target="https://drive.google.com/open?id=19JFZgR7uJyHs8BHMaIrDN1mlJaZhLjXC" TargetMode="External"/><Relationship Id="rId478" Type="http://schemas.openxmlformats.org/officeDocument/2006/relationships/hyperlink" Target="https://drive.google.com/open?id=1uLeEwuImIRrX6KQSP5QpdW6KsZd5PvHC" TargetMode="External"/><Relationship Id="rId1060" Type="http://schemas.openxmlformats.org/officeDocument/2006/relationships/hyperlink" Target="https://drive.google.com/open?id=1LhJiPiK4SCVm78PwMiSf8erVINOog32v" TargetMode="External"/><Relationship Id="rId1061" Type="http://schemas.openxmlformats.org/officeDocument/2006/relationships/hyperlink" Target="https://drive.google.com/open?id=1YFeZ9gk3zAR2gUqvBJfb37HYXITqOVpF" TargetMode="External"/><Relationship Id="rId231" Type="http://schemas.openxmlformats.org/officeDocument/2006/relationships/hyperlink" Target="https://drive.google.com/open?id=1B92L4vQvq77s4bnJQ2_Retgf3PKoHPxB" TargetMode="External"/><Relationship Id="rId473" Type="http://schemas.openxmlformats.org/officeDocument/2006/relationships/hyperlink" Target="https://drive.google.com/open?id=1k1NjXQwyThnkXMAWAdUeOHARG3GmABTm" TargetMode="External"/><Relationship Id="rId1062" Type="http://schemas.openxmlformats.org/officeDocument/2006/relationships/hyperlink" Target="https://drive.google.com/open?id=1BBcgB4uGJ7kXoidEP7LYlTeD5F-deJGd" TargetMode="External"/><Relationship Id="rId230" Type="http://schemas.openxmlformats.org/officeDocument/2006/relationships/hyperlink" Target="https://drive.google.com/open?id=1XjfCA75pTlWrFW-Xjr62s2OuQ2NlALmL" TargetMode="External"/><Relationship Id="rId472" Type="http://schemas.openxmlformats.org/officeDocument/2006/relationships/hyperlink" Target="https://drive.google.com/open?id=18RRYdLBvhlWL_Lf06b_NeKywC9-8wTm5" TargetMode="External"/><Relationship Id="rId1063" Type="http://schemas.openxmlformats.org/officeDocument/2006/relationships/hyperlink" Target="https://drive.google.com/open?id=1b7aGPzXPgZFexnXlOQEijf5iNBo2urSv" TargetMode="External"/><Relationship Id="rId471" Type="http://schemas.openxmlformats.org/officeDocument/2006/relationships/hyperlink" Target="https://drive.google.com/open?id=1qKtxoRQuDPmAhgSBSXW0wbIdZcKE5bZN" TargetMode="External"/><Relationship Id="rId1064" Type="http://schemas.openxmlformats.org/officeDocument/2006/relationships/hyperlink" Target="https://drive.google.com/open?id=1suvHRBrZqhg93B3_bWUcaIbTqilKf_Hl" TargetMode="External"/><Relationship Id="rId470" Type="http://schemas.openxmlformats.org/officeDocument/2006/relationships/hyperlink" Target="https://drive.google.com/open?id=197lb0VorMojZ09FpveSiLgWqI713a1_b" TargetMode="External"/><Relationship Id="rId1065" Type="http://schemas.openxmlformats.org/officeDocument/2006/relationships/hyperlink" Target="https://drive.google.com/open?id=1dmCE41-tobTZhqXyLfPyzsAWQSKbglwY" TargetMode="External"/><Relationship Id="rId235" Type="http://schemas.openxmlformats.org/officeDocument/2006/relationships/hyperlink" Target="https://drive.google.com/open?id=1ZOd7W1KxEmFmg_ARE16dus6KqYSu6ffA" TargetMode="External"/><Relationship Id="rId477" Type="http://schemas.openxmlformats.org/officeDocument/2006/relationships/hyperlink" Target="https://drive.google.com/open?id=1o6MKVFmvmPOwXwc2P0teuzdg1KR-cHaP" TargetMode="External"/><Relationship Id="rId1066" Type="http://schemas.openxmlformats.org/officeDocument/2006/relationships/hyperlink" Target="https://drive.google.com/open?id=1O9TF1e9NajKkRGH5gYb7ki7V7mfzyvYe" TargetMode="External"/><Relationship Id="rId234" Type="http://schemas.openxmlformats.org/officeDocument/2006/relationships/hyperlink" Target="https://drive.google.com/open?id=1F_uGfmATZCQWJDUJfMJgNIo-a6ip510l" TargetMode="External"/><Relationship Id="rId476" Type="http://schemas.openxmlformats.org/officeDocument/2006/relationships/hyperlink" Target="https://drive.google.com/open?id=1-_XLkJn3va2s7Sm4FpLEqzMBCZlSyTPv" TargetMode="External"/><Relationship Id="rId1067" Type="http://schemas.openxmlformats.org/officeDocument/2006/relationships/hyperlink" Target="https://drive.google.com/open?id=1l2d3_N0ZRfFObyrZ5028p-Ld3bXZq2Gv" TargetMode="External"/><Relationship Id="rId233" Type="http://schemas.openxmlformats.org/officeDocument/2006/relationships/hyperlink" Target="https://drive.google.com/open?id=1Xyuobyq5Txo_VK390oVwnqILvC1pamqd" TargetMode="External"/><Relationship Id="rId475" Type="http://schemas.openxmlformats.org/officeDocument/2006/relationships/hyperlink" Target="https://drive.google.com/open?id=1y1lc7OHTM4RrlAR0xsbErS18P8nytwmV" TargetMode="External"/><Relationship Id="rId1068" Type="http://schemas.openxmlformats.org/officeDocument/2006/relationships/hyperlink" Target="https://drive.google.com/open?id=1YnyyX0uk2TsPolRALJLkkfzJbRQgNRAe" TargetMode="External"/><Relationship Id="rId232" Type="http://schemas.openxmlformats.org/officeDocument/2006/relationships/hyperlink" Target="https://drive.google.com/open?id=1cnyAbFpNL6kd19fTsu_3skS61JsUJ4PX" TargetMode="External"/><Relationship Id="rId474" Type="http://schemas.openxmlformats.org/officeDocument/2006/relationships/hyperlink" Target="https://drive.google.com/open?id=1DA8flefHZT_Hegtb-qLI-zS5GSA7n3a5" TargetMode="External"/><Relationship Id="rId1069" Type="http://schemas.openxmlformats.org/officeDocument/2006/relationships/hyperlink" Target="https://drive.google.com/open?id=1ptFOwcEdsuaE1u-5NPTnrCs41k4xrhBB" TargetMode="External"/><Relationship Id="rId1015" Type="http://schemas.openxmlformats.org/officeDocument/2006/relationships/hyperlink" Target="https://drive.google.com/open?id=12xOS-DrSJ27p570L2XsEeeFhjeMZadY_" TargetMode="External"/><Relationship Id="rId1016" Type="http://schemas.openxmlformats.org/officeDocument/2006/relationships/hyperlink" Target="https://drive.google.com/open?id=1MDwWccIhH8Vv_XUrHX6XlymtF2hx1xkz" TargetMode="External"/><Relationship Id="rId1017" Type="http://schemas.openxmlformats.org/officeDocument/2006/relationships/hyperlink" Target="https://drive.google.com/open?id=1rtPdwYXQs1lO5TZoSezX0-AsLWs_XrD7" TargetMode="External"/><Relationship Id="rId1018" Type="http://schemas.openxmlformats.org/officeDocument/2006/relationships/hyperlink" Target="https://drive.google.com/open?id=1FoGt7_8yiGHL782jQf5o4TC5nHZcwVdL" TargetMode="External"/><Relationship Id="rId1019" Type="http://schemas.openxmlformats.org/officeDocument/2006/relationships/hyperlink" Target="https://drive.google.com/open?id=1Rh5AYOp2IdAZoTdGqoxPrmuaB49he2Oi" TargetMode="External"/><Relationship Id="rId426" Type="http://schemas.openxmlformats.org/officeDocument/2006/relationships/hyperlink" Target="https://drive.google.com/open?id=1fiuldyZTqKZ99vMstFip89Uu-kyJz2VS" TargetMode="External"/><Relationship Id="rId668" Type="http://schemas.openxmlformats.org/officeDocument/2006/relationships/hyperlink" Target="https://drive.google.com/open?id=1kjeg2SWtkIAlOwm4REeSs2FFydkEe9yB" TargetMode="External"/><Relationship Id="rId425" Type="http://schemas.openxmlformats.org/officeDocument/2006/relationships/hyperlink" Target="https://drive.google.com/open?id=1mb5tMreNbFG_LAz5lYQ1LLckWuxkClhx" TargetMode="External"/><Relationship Id="rId667" Type="http://schemas.openxmlformats.org/officeDocument/2006/relationships/hyperlink" Target="https://drive.google.com/open?id=195jZIbrK1QwMfiScpfGS509nA3oC_nB5" TargetMode="External"/><Relationship Id="rId424" Type="http://schemas.openxmlformats.org/officeDocument/2006/relationships/hyperlink" Target="https://drive.google.com/open?id=1hj1WHohz66ypWjLikVWqmnoOioA2lBl1" TargetMode="External"/><Relationship Id="rId666" Type="http://schemas.openxmlformats.org/officeDocument/2006/relationships/hyperlink" Target="https://drive.google.com/open?id=181LgwMZHVej-nNWqmjOihidOoQAuzv-z" TargetMode="External"/><Relationship Id="rId423" Type="http://schemas.openxmlformats.org/officeDocument/2006/relationships/hyperlink" Target="https://drive.google.com/open?id=1XRMYOjditJeIeyl0284_0yPMRJLJvYUG" TargetMode="External"/><Relationship Id="rId665" Type="http://schemas.openxmlformats.org/officeDocument/2006/relationships/hyperlink" Target="https://drive.google.com/open?id=181wRUIvW4Ow5mbKqI7RNd4B7VmiUsTQq" TargetMode="External"/><Relationship Id="rId429" Type="http://schemas.openxmlformats.org/officeDocument/2006/relationships/hyperlink" Target="https://drive.google.com/open?id=1p8NL12gvj_u9ruTtV4BjJut4_9s6szW-" TargetMode="External"/><Relationship Id="rId428" Type="http://schemas.openxmlformats.org/officeDocument/2006/relationships/hyperlink" Target="https://drive.google.com/open?id=1fw_RBuTSP5dgCxouqoefolt5akOG72lh" TargetMode="External"/><Relationship Id="rId427" Type="http://schemas.openxmlformats.org/officeDocument/2006/relationships/hyperlink" Target="https://drive.google.com/open?id=1Sa6YoJAMDIrjKLUMptEHCb6MWb5LKASo" TargetMode="External"/><Relationship Id="rId669" Type="http://schemas.openxmlformats.org/officeDocument/2006/relationships/hyperlink" Target="https://drive.google.com/open?id=1hyWDMwv2qkU_10P7KfPiYemHzldEB6pQ" TargetMode="External"/><Relationship Id="rId660" Type="http://schemas.openxmlformats.org/officeDocument/2006/relationships/hyperlink" Target="https://drive.google.com/open?id=13x1hHPkq-6K3y3vMbKPdY0vpbzi0wuzW" TargetMode="External"/><Relationship Id="rId1010" Type="http://schemas.openxmlformats.org/officeDocument/2006/relationships/hyperlink" Target="https://drive.google.com/open?id=1Js7s7O0_qEKqyBy25YSzfnisSecqHofG" TargetMode="External"/><Relationship Id="rId422" Type="http://schemas.openxmlformats.org/officeDocument/2006/relationships/hyperlink" Target="https://drive.google.com/open?id=1StgZ6fk7Jau3-NSBMEWGIOkK_nLXEIOd" TargetMode="External"/><Relationship Id="rId664" Type="http://schemas.openxmlformats.org/officeDocument/2006/relationships/hyperlink" Target="https://drive.google.com/open?id=1dEGkVSwBkZcU77noaaRj_SY79IRQA7rZ" TargetMode="External"/><Relationship Id="rId1011" Type="http://schemas.openxmlformats.org/officeDocument/2006/relationships/hyperlink" Target="https://drive.google.com/open?id=19FPLSKJ-1cDbWliLjoZSJ03V58x694G9" TargetMode="External"/><Relationship Id="rId421" Type="http://schemas.openxmlformats.org/officeDocument/2006/relationships/hyperlink" Target="https://drive.google.com/open?id=1Dy-QlArYOZj2QW5j7f8mvid2pCVf7NHe" TargetMode="External"/><Relationship Id="rId663" Type="http://schemas.openxmlformats.org/officeDocument/2006/relationships/hyperlink" Target="https://drive.google.com/open?id=1Df56W6QbbgXFzELL9f9MDpRqp3yIHRwX" TargetMode="External"/><Relationship Id="rId1012" Type="http://schemas.openxmlformats.org/officeDocument/2006/relationships/hyperlink" Target="https://drive.google.com/open?id=1oflzJ0KaF6s-oMRjNqA80-p-tnhceL3w" TargetMode="External"/><Relationship Id="rId420" Type="http://schemas.openxmlformats.org/officeDocument/2006/relationships/hyperlink" Target="https://drive.google.com/open?id=1ZSjhobe4hlbpeHooR6utIztV8us6CVqX" TargetMode="External"/><Relationship Id="rId662" Type="http://schemas.openxmlformats.org/officeDocument/2006/relationships/hyperlink" Target="https://drive.google.com/open?id=1IQnuiClbUTa80PEZMyhTxMhsyftfN1tb" TargetMode="External"/><Relationship Id="rId1013" Type="http://schemas.openxmlformats.org/officeDocument/2006/relationships/hyperlink" Target="https://drive.google.com/open?id=16oxC-c9tbSoFkGjnomjs1neLOOK6u9KU" TargetMode="External"/><Relationship Id="rId661" Type="http://schemas.openxmlformats.org/officeDocument/2006/relationships/hyperlink" Target="https://drive.google.com/open?id=10UDYOZ_6gzrf3M2gENPbFmSl6ToxYK-A" TargetMode="External"/><Relationship Id="rId1014" Type="http://schemas.openxmlformats.org/officeDocument/2006/relationships/hyperlink" Target="https://drive.google.com/open?id=1LBVM7FSkeOvvcVlOmaYt0myCbd5nGKRT" TargetMode="External"/><Relationship Id="rId1004" Type="http://schemas.openxmlformats.org/officeDocument/2006/relationships/hyperlink" Target="https://drive.google.com/open?id=161N8u38b4eo-MR9QQclXm_1_H_ol6Xnj" TargetMode="External"/><Relationship Id="rId1005" Type="http://schemas.openxmlformats.org/officeDocument/2006/relationships/hyperlink" Target="https://drive.google.com/open?id=1bogkvAf4FIj-145wrgxcjieM-fiNCzn5" TargetMode="External"/><Relationship Id="rId1006" Type="http://schemas.openxmlformats.org/officeDocument/2006/relationships/hyperlink" Target="https://drive.google.com/open?id=1aKjzLPFyRi4LTKWXgQ2zum0ej8hbAl-C" TargetMode="External"/><Relationship Id="rId1007" Type="http://schemas.openxmlformats.org/officeDocument/2006/relationships/hyperlink" Target="https://drive.google.com/open?id=1Re4xySdHoXXbzhtIkdCtVA9hgCkdgSwu" TargetMode="External"/><Relationship Id="rId1008" Type="http://schemas.openxmlformats.org/officeDocument/2006/relationships/hyperlink" Target="https://drive.google.com/open?id=1yWkbTUSqTtxEu9c0xtl8xPIgXvVRIQs4" TargetMode="External"/><Relationship Id="rId1009" Type="http://schemas.openxmlformats.org/officeDocument/2006/relationships/hyperlink" Target="https://drive.google.com/open?id=1Jd0YP0D0XRo6fiJZwZggUyGXTOhh3cTZ" TargetMode="External"/><Relationship Id="rId415" Type="http://schemas.openxmlformats.org/officeDocument/2006/relationships/hyperlink" Target="https://drive.google.com/open?id=1GxNktriFJgB0856lHWPju0UVF9jUQ-f3" TargetMode="External"/><Relationship Id="rId657" Type="http://schemas.openxmlformats.org/officeDocument/2006/relationships/hyperlink" Target="https://drive.google.com/open?id=1Q-xT4BeUCRBvWlCbw-s8IGm1CjF9bMnt" TargetMode="External"/><Relationship Id="rId899" Type="http://schemas.openxmlformats.org/officeDocument/2006/relationships/hyperlink" Target="https://drive.google.com/open?id=1mVHjoXrExzBMhxV3n2-OFutxv-0AD7-0" TargetMode="External"/><Relationship Id="rId414" Type="http://schemas.openxmlformats.org/officeDocument/2006/relationships/hyperlink" Target="https://drive.google.com/open?id=1H84hRhI_0_3A1WoenSqYHopUQJd_AJ2d" TargetMode="External"/><Relationship Id="rId656" Type="http://schemas.openxmlformats.org/officeDocument/2006/relationships/hyperlink" Target="https://drive.google.com/open?id=1nOCmIsdEGwt62era1rB430vRDmSzRT5d" TargetMode="External"/><Relationship Id="rId898" Type="http://schemas.openxmlformats.org/officeDocument/2006/relationships/hyperlink" Target="https://drive.google.com/open?id=1yq96fGrVyvtsixKCC3Fm47hqP4pe0xtU" TargetMode="External"/><Relationship Id="rId413" Type="http://schemas.openxmlformats.org/officeDocument/2006/relationships/hyperlink" Target="https://drive.google.com/open?id=1jkYo2QhN7ndUBsVWMZR4KFE4RYtHN871" TargetMode="External"/><Relationship Id="rId655" Type="http://schemas.openxmlformats.org/officeDocument/2006/relationships/hyperlink" Target="https://drive.google.com/open?id=1lxJBauuyLRpeq5EgBzTigXxwsfytkrAg" TargetMode="External"/><Relationship Id="rId897" Type="http://schemas.openxmlformats.org/officeDocument/2006/relationships/hyperlink" Target="https://drive.google.com/open?id=1rQYBo9i342Ke3KAFEQ4f0qX0DPIKzLef" TargetMode="External"/><Relationship Id="rId412" Type="http://schemas.openxmlformats.org/officeDocument/2006/relationships/hyperlink" Target="https://drive.google.com/open?id=1cibqw3-Fk3cRFLQ0pkOaY1XFONl9NBee" TargetMode="External"/><Relationship Id="rId654" Type="http://schemas.openxmlformats.org/officeDocument/2006/relationships/hyperlink" Target="https://drive.google.com/open?id=1QfVRJg-olDmbGAy4RnB86qJancOIvJYR" TargetMode="External"/><Relationship Id="rId896" Type="http://schemas.openxmlformats.org/officeDocument/2006/relationships/hyperlink" Target="https://drive.google.com/open?id=1lfo54YtRZtHhpGCGTnJMhgrdLpgtUqRl" TargetMode="External"/><Relationship Id="rId419" Type="http://schemas.openxmlformats.org/officeDocument/2006/relationships/hyperlink" Target="https://drive.google.com/open?id=16_Eh7qHQOb5jbZEZ1_NWoY6Ti5Tyyr8c" TargetMode="External"/><Relationship Id="rId418" Type="http://schemas.openxmlformats.org/officeDocument/2006/relationships/hyperlink" Target="https://drive.google.com/open?id=1jFyg2p5XYllDeik3eV6FxZZjhFtYfd_f" TargetMode="External"/><Relationship Id="rId417" Type="http://schemas.openxmlformats.org/officeDocument/2006/relationships/hyperlink" Target="https://drive.google.com/open?id=1jbhJutbXC05FrQkkPWtNGMl7tdSBfXmc" TargetMode="External"/><Relationship Id="rId659" Type="http://schemas.openxmlformats.org/officeDocument/2006/relationships/hyperlink" Target="https://drive.google.com/open?id=1yWB8nByNx8E9KS7EXPJyy6ewl6SRG07G" TargetMode="External"/><Relationship Id="rId416" Type="http://schemas.openxmlformats.org/officeDocument/2006/relationships/hyperlink" Target="https://drive.google.com/open?id=1y6ZTDZslf5pTKKI6RFBx-WW-59Uidvqy" TargetMode="External"/><Relationship Id="rId658" Type="http://schemas.openxmlformats.org/officeDocument/2006/relationships/hyperlink" Target="https://drive.google.com/open?id=1p4YUDifRngxYzrxEyVs9FQVVE64OqGp9" TargetMode="External"/><Relationship Id="rId891" Type="http://schemas.openxmlformats.org/officeDocument/2006/relationships/hyperlink" Target="https://drive.google.com/open?id=1BacsBPbxBxKAbrLOT0ZRejzMiOHSTHke" TargetMode="External"/><Relationship Id="rId890" Type="http://schemas.openxmlformats.org/officeDocument/2006/relationships/hyperlink" Target="https://drive.google.com/open?id=1Iu_FwfI5G5bzgcemsNDyrygIQ3RdsMci" TargetMode="External"/><Relationship Id="rId411" Type="http://schemas.openxmlformats.org/officeDocument/2006/relationships/hyperlink" Target="https://drive.google.com/open?id=1CnVrIsN2KEEO_S9GnywP0xLP4aTaEa9q" TargetMode="External"/><Relationship Id="rId653" Type="http://schemas.openxmlformats.org/officeDocument/2006/relationships/hyperlink" Target="https://drive.google.com/open?id=1m9fscXVyFmSwfcvzNyt2p-ZhJ64w_cu5" TargetMode="External"/><Relationship Id="rId895" Type="http://schemas.openxmlformats.org/officeDocument/2006/relationships/hyperlink" Target="https://drive.google.com/open?id=1WnvftjdRWVrH8Sq2jfg765DilpNJGFby" TargetMode="External"/><Relationship Id="rId1000" Type="http://schemas.openxmlformats.org/officeDocument/2006/relationships/hyperlink" Target="https://drive.google.com/open?id=1TQcLxh4cK42Ey_OHqyVALWJJS9XHUIrc" TargetMode="External"/><Relationship Id="rId410" Type="http://schemas.openxmlformats.org/officeDocument/2006/relationships/hyperlink" Target="https://drive.google.com/open?id=1TfG1hBZsEOyVYYIR-bnqs1CQHxpI-ttR" TargetMode="External"/><Relationship Id="rId652" Type="http://schemas.openxmlformats.org/officeDocument/2006/relationships/hyperlink" Target="https://drive.google.com/open?id=1W2jcqiEertDsxAUYvwITJFOKciFIpvsE" TargetMode="External"/><Relationship Id="rId894" Type="http://schemas.openxmlformats.org/officeDocument/2006/relationships/hyperlink" Target="https://drive.google.com/open?id=1u8fZmNlkYfT6Bjp8KKgEocVUs2wjLmlv" TargetMode="External"/><Relationship Id="rId1001" Type="http://schemas.openxmlformats.org/officeDocument/2006/relationships/hyperlink" Target="https://drive.google.com/open?id=141-ZZo6lgNXp5EA0VztGNB9InfBZRpWh" TargetMode="External"/><Relationship Id="rId651" Type="http://schemas.openxmlformats.org/officeDocument/2006/relationships/hyperlink" Target="https://drive.google.com/open?id=19qhGICiUhbb4OPyb2i0zl16AEiWisNNQ" TargetMode="External"/><Relationship Id="rId893" Type="http://schemas.openxmlformats.org/officeDocument/2006/relationships/hyperlink" Target="https://drive.google.com/open?id=1s-YBE4ruLLEHTlRhKnmtpVpG-iLskOGj" TargetMode="External"/><Relationship Id="rId1002" Type="http://schemas.openxmlformats.org/officeDocument/2006/relationships/hyperlink" Target="https://drive.google.com/open?id=1DwygsyXjqcvJGSuu3Ml3axRc3dbWdWpT" TargetMode="External"/><Relationship Id="rId650" Type="http://schemas.openxmlformats.org/officeDocument/2006/relationships/hyperlink" Target="https://drive.google.com/open?id=1xvSeOxBe48nAe0MjEo6rfQFuJ-zFJapP" TargetMode="External"/><Relationship Id="rId892" Type="http://schemas.openxmlformats.org/officeDocument/2006/relationships/hyperlink" Target="https://drive.google.com/open?id=133QY32fjvAMhxyz5TCQP0cFyUgGdCIGO" TargetMode="External"/><Relationship Id="rId1003" Type="http://schemas.openxmlformats.org/officeDocument/2006/relationships/hyperlink" Target="https://drive.google.com/open?id=18Qf1b5hR7F69mxuz3d_Xgd537t0a7D2a" TargetMode="External"/><Relationship Id="rId1037" Type="http://schemas.openxmlformats.org/officeDocument/2006/relationships/hyperlink" Target="https://drive.google.com/open?id=1PWd4HpjpbG5HadSKgTAAFygIYTfZq00F" TargetMode="External"/><Relationship Id="rId1038" Type="http://schemas.openxmlformats.org/officeDocument/2006/relationships/hyperlink" Target="https://drive.google.com/open?id=1i4ONuu_MOkdUVgaCSzVO8N8URdbCMFLZ" TargetMode="External"/><Relationship Id="rId1039" Type="http://schemas.openxmlformats.org/officeDocument/2006/relationships/hyperlink" Target="https://drive.google.com/open?id=1wh0GWV7-jT0hZlC1jQHe7MpN2FUoYnYY" TargetMode="External"/><Relationship Id="rId206" Type="http://schemas.openxmlformats.org/officeDocument/2006/relationships/hyperlink" Target="https://drive.google.com/open?id=16QZacA4zCKPmW5DN1hO3YDA02wqHACD3" TargetMode="External"/><Relationship Id="rId448" Type="http://schemas.openxmlformats.org/officeDocument/2006/relationships/hyperlink" Target="https://drive.google.com/open?id=1TdauXtm0wwPzqLnWA_So2NbsnwgCW33J" TargetMode="External"/><Relationship Id="rId205" Type="http://schemas.openxmlformats.org/officeDocument/2006/relationships/hyperlink" Target="https://drive.google.com/open?id=1svJoAOO0_NJAgOkRLr-F2tlyNI2038dN" TargetMode="External"/><Relationship Id="rId447" Type="http://schemas.openxmlformats.org/officeDocument/2006/relationships/hyperlink" Target="https://drive.google.com/open?id=1s7c3X3qxnKaF4q4ba3O_uvi5rah8fZO3" TargetMode="External"/><Relationship Id="rId689" Type="http://schemas.openxmlformats.org/officeDocument/2006/relationships/hyperlink" Target="https://drive.google.com/open?id=1NK_56hanXsL1OfdGni0JSaYJVHdWowLu" TargetMode="External"/><Relationship Id="rId204" Type="http://schemas.openxmlformats.org/officeDocument/2006/relationships/hyperlink" Target="https://drive.google.com/open?id=1H5CiXdZXI_K0TmQi1ehbmyNCc2UCcOKD" TargetMode="External"/><Relationship Id="rId446" Type="http://schemas.openxmlformats.org/officeDocument/2006/relationships/hyperlink" Target="https://drive.google.com/open?id=1OPxMeXoOQ26JKHQlFGHYzFgPgRfchvUs" TargetMode="External"/><Relationship Id="rId688" Type="http://schemas.openxmlformats.org/officeDocument/2006/relationships/hyperlink" Target="https://drive.google.com/open?id=1Eh2ZTi1V9ZRBQlhtGyRp4TTGTYy8KiOB" TargetMode="External"/><Relationship Id="rId203" Type="http://schemas.openxmlformats.org/officeDocument/2006/relationships/hyperlink" Target="https://drive.google.com/open?id=1hEXzcANVq61RdRa2Oi5rfZXG_LQu5Mlp" TargetMode="External"/><Relationship Id="rId445" Type="http://schemas.openxmlformats.org/officeDocument/2006/relationships/hyperlink" Target="https://drive.google.com/open?id=16s9oMZXEkw7nApYH7n8DE5sP44A38TA3" TargetMode="External"/><Relationship Id="rId687" Type="http://schemas.openxmlformats.org/officeDocument/2006/relationships/hyperlink" Target="https://drive.google.com/open?id=1eoHtSFZL4gBWsvE0G2RG5pnN2uahJNfO" TargetMode="External"/><Relationship Id="rId209" Type="http://schemas.openxmlformats.org/officeDocument/2006/relationships/hyperlink" Target="https://drive.google.com/open?id=15kOmtyIGYgTMGlKWL8WnRX8gnKXCpN7p" TargetMode="External"/><Relationship Id="rId208" Type="http://schemas.openxmlformats.org/officeDocument/2006/relationships/hyperlink" Target="https://drive.google.com/open?id=1ypWaYnuQ63JoXroymQkcZU0lkRS5Lbwn" TargetMode="External"/><Relationship Id="rId207" Type="http://schemas.openxmlformats.org/officeDocument/2006/relationships/hyperlink" Target="https://drive.google.com/open?id=11aryR-8krlxzY6_0xtHYpd6T4iKadX1_" TargetMode="External"/><Relationship Id="rId449" Type="http://schemas.openxmlformats.org/officeDocument/2006/relationships/hyperlink" Target="https://drive.google.com/open?id=1dWv_s9hWsTjKOIsU24MjgudG6riF0w_K" TargetMode="External"/><Relationship Id="rId440" Type="http://schemas.openxmlformats.org/officeDocument/2006/relationships/hyperlink" Target="https://drive.google.com/open?id=1MNFCLrLwp-UWbFJEysrBUzQmYt8__2Tl" TargetMode="External"/><Relationship Id="rId682" Type="http://schemas.openxmlformats.org/officeDocument/2006/relationships/hyperlink" Target="https://drive.google.com/open?id=1-DHUHwl38mLEe2BYqS_LfpwGsbp5lJNU" TargetMode="External"/><Relationship Id="rId681" Type="http://schemas.openxmlformats.org/officeDocument/2006/relationships/hyperlink" Target="https://drive.google.com/open?id=1WPRHnZl_jCvx2YPIzOJARMBXd4si6Fdt" TargetMode="External"/><Relationship Id="rId1030" Type="http://schemas.openxmlformats.org/officeDocument/2006/relationships/hyperlink" Target="https://drive.google.com/open?id=1LQoGgAqPMGISjzC3tDOYUftJt0dnSYDK" TargetMode="External"/><Relationship Id="rId680" Type="http://schemas.openxmlformats.org/officeDocument/2006/relationships/hyperlink" Target="https://drive.google.com/open?id=1HwOR3ED9Z2OHABtEV5at5HajydNuMLff" TargetMode="External"/><Relationship Id="rId1031" Type="http://schemas.openxmlformats.org/officeDocument/2006/relationships/hyperlink" Target="https://drive.google.com/open?id=1DdLXLq3QynBbmRJw8QXPRXGEyXNZfC7Z" TargetMode="External"/><Relationship Id="rId1032" Type="http://schemas.openxmlformats.org/officeDocument/2006/relationships/hyperlink" Target="https://drive.google.com/open?id=1hL8hDWHWTzA3gRcAUP3-ABtLtCO9PZyV" TargetMode="External"/><Relationship Id="rId202" Type="http://schemas.openxmlformats.org/officeDocument/2006/relationships/hyperlink" Target="https://drive.google.com/open?id=1CTqLwnlJRCtcXw78m_KRvDZomAxsrIBX" TargetMode="External"/><Relationship Id="rId444" Type="http://schemas.openxmlformats.org/officeDocument/2006/relationships/hyperlink" Target="https://drive.google.com/open?id=1_rcQF5AvQnXc4hlUUmsOvkSlWZ8YkpVH" TargetMode="External"/><Relationship Id="rId686" Type="http://schemas.openxmlformats.org/officeDocument/2006/relationships/hyperlink" Target="https://drive.google.com/open?id=1P74FOqGM-gIiG6rC7RXu89ybof9hGIGC" TargetMode="External"/><Relationship Id="rId1033" Type="http://schemas.openxmlformats.org/officeDocument/2006/relationships/hyperlink" Target="https://drive.google.com/open?id=1oyEShjFVGSLv6g2kJXOT-s9ibLXAC_Ri" TargetMode="External"/><Relationship Id="rId201" Type="http://schemas.openxmlformats.org/officeDocument/2006/relationships/hyperlink" Target="https://drive.google.com/open?id=1zZBHH_f_8XBmCNajlnSB7e5Ep5rUqLp8" TargetMode="External"/><Relationship Id="rId443" Type="http://schemas.openxmlformats.org/officeDocument/2006/relationships/hyperlink" Target="https://drive.google.com/open?id=1hWBXiXWmdLsYMYVBjqVTGG0Ygq-ei2wB" TargetMode="External"/><Relationship Id="rId685" Type="http://schemas.openxmlformats.org/officeDocument/2006/relationships/hyperlink" Target="https://drive.google.com/open?id=1a1SU9aSENt1qLM_5u3o-Dy_y1i4QRlMf" TargetMode="External"/><Relationship Id="rId1034" Type="http://schemas.openxmlformats.org/officeDocument/2006/relationships/hyperlink" Target="https://drive.google.com/open?id=1tOfeN9G9KCeuzF9s8OsxFHLKarbn_iR_" TargetMode="External"/><Relationship Id="rId200" Type="http://schemas.openxmlformats.org/officeDocument/2006/relationships/hyperlink" Target="https://drive.google.com/open?id=1gQQzXjhmj0pwXbE0IAKe_wizZ2OBmPT_" TargetMode="External"/><Relationship Id="rId442" Type="http://schemas.openxmlformats.org/officeDocument/2006/relationships/hyperlink" Target="https://drive.google.com/open?id=1kgPjhSjVDLMKGxinkx38YElMoNMw2j1g" TargetMode="External"/><Relationship Id="rId684" Type="http://schemas.openxmlformats.org/officeDocument/2006/relationships/hyperlink" Target="https://drive.google.com/open?id=1ThBDg7pbtv-W49-dEPwD9VqOY2RYoRbw" TargetMode="External"/><Relationship Id="rId1035" Type="http://schemas.openxmlformats.org/officeDocument/2006/relationships/hyperlink" Target="https://drive.google.com/open?id=1U8N6SqPURI5Q0rI3urEE9yQ9jAOZpQXR" TargetMode="External"/><Relationship Id="rId441" Type="http://schemas.openxmlformats.org/officeDocument/2006/relationships/hyperlink" Target="https://drive.google.com/open?id=12vrUxqce0xl675rNDf7hoWUeNXAVsMao" TargetMode="External"/><Relationship Id="rId683" Type="http://schemas.openxmlformats.org/officeDocument/2006/relationships/hyperlink" Target="https://drive.google.com/open?id=1NLWrKGO-6G8tKntPCF5DShx3xWU8tdcz" TargetMode="External"/><Relationship Id="rId1036" Type="http://schemas.openxmlformats.org/officeDocument/2006/relationships/hyperlink" Target="https://drive.google.com/open?id=1es9fj-5uSiHU-zt_VeDQbJQKf38sGqHV" TargetMode="External"/><Relationship Id="rId1026" Type="http://schemas.openxmlformats.org/officeDocument/2006/relationships/hyperlink" Target="https://drive.google.com/open?id=1kULodtgZf9v1jXL3a6gMxBL0a_qOhiMi" TargetMode="External"/><Relationship Id="rId1027" Type="http://schemas.openxmlformats.org/officeDocument/2006/relationships/hyperlink" Target="https://drive.google.com/open?id=1JZylQUzZoavXgqrz_2EYXRqO59L3znhq" TargetMode="External"/><Relationship Id="rId1028" Type="http://schemas.openxmlformats.org/officeDocument/2006/relationships/hyperlink" Target="https://drive.google.com/open?id=1mkf58tqaKaCgSTnpruWlJAvCAFBKkrqH" TargetMode="External"/><Relationship Id="rId1029" Type="http://schemas.openxmlformats.org/officeDocument/2006/relationships/hyperlink" Target="https://drive.google.com/open?id=166aoOsYEl30ukdI8J7Md2mbAs3Ka0V1Y" TargetMode="External"/><Relationship Id="rId437" Type="http://schemas.openxmlformats.org/officeDocument/2006/relationships/hyperlink" Target="https://drive.google.com/open?id=11wFOEjuDb6n8NI4eX_q4n-wLWEQTYno1" TargetMode="External"/><Relationship Id="rId679" Type="http://schemas.openxmlformats.org/officeDocument/2006/relationships/hyperlink" Target="https://drive.google.com/open?id=1l7KCAtEaVg2I0knAn3kidWgGVdvesJH2" TargetMode="External"/><Relationship Id="rId436" Type="http://schemas.openxmlformats.org/officeDocument/2006/relationships/hyperlink" Target="https://drive.google.com/open?id=1xZQ784S2xRvm6Ipgk3SdQUjAXZCFIo6l" TargetMode="External"/><Relationship Id="rId678" Type="http://schemas.openxmlformats.org/officeDocument/2006/relationships/hyperlink" Target="https://drive.google.com/open?id=1f22XnVutMlM0cnWwUPGuG0H3g_eG4sEI" TargetMode="External"/><Relationship Id="rId435" Type="http://schemas.openxmlformats.org/officeDocument/2006/relationships/hyperlink" Target="https://drive.google.com/open?id=1nykUK4p-aS9XjUF1uPZEa7A9nSpfF1AN" TargetMode="External"/><Relationship Id="rId677" Type="http://schemas.openxmlformats.org/officeDocument/2006/relationships/hyperlink" Target="https://drive.google.com/open?id=1TAFx-lyNx54g0qWFr-q_5vsBvDw3pvtx" TargetMode="External"/><Relationship Id="rId434" Type="http://schemas.openxmlformats.org/officeDocument/2006/relationships/hyperlink" Target="https://drive.google.com/open?id=1MeFDWqg4u4Du8PHLDrpNAJnx6HTZ202s" TargetMode="External"/><Relationship Id="rId676" Type="http://schemas.openxmlformats.org/officeDocument/2006/relationships/hyperlink" Target="https://drive.google.com/open?id=1UFXklMgUEclGvDUMPgAryY9SwYZXp2wO" TargetMode="External"/><Relationship Id="rId439" Type="http://schemas.openxmlformats.org/officeDocument/2006/relationships/hyperlink" Target="https://drive.google.com/open?id=19dcKNloRPhdTPKeX8XwBYzQZz7HejNAQ" TargetMode="External"/><Relationship Id="rId438" Type="http://schemas.openxmlformats.org/officeDocument/2006/relationships/hyperlink" Target="https://drive.google.com/open?id=1aOCE4P4XYX30LiAXE4GHzTu_tr5cKAVk" TargetMode="External"/><Relationship Id="rId671" Type="http://schemas.openxmlformats.org/officeDocument/2006/relationships/hyperlink" Target="https://drive.google.com/open?id=1Zc6jUrBLArO5CLUpm1U29CgofV4-FK2X" TargetMode="External"/><Relationship Id="rId670" Type="http://schemas.openxmlformats.org/officeDocument/2006/relationships/hyperlink" Target="https://drive.google.com/open?id=1eYptKW9CrmqQm21Yau8_oBM52l2c3R8T" TargetMode="External"/><Relationship Id="rId1020" Type="http://schemas.openxmlformats.org/officeDocument/2006/relationships/hyperlink" Target="https://drive.google.com/open?id=11Jq2hlyShHrAhImX1y8bFpuVdd2HFPdf" TargetMode="External"/><Relationship Id="rId1021" Type="http://schemas.openxmlformats.org/officeDocument/2006/relationships/hyperlink" Target="https://drive.google.com/open?id=1BuXEmN447ijxXbgMl5EYBRhR1ziS1UZn" TargetMode="External"/><Relationship Id="rId433" Type="http://schemas.openxmlformats.org/officeDocument/2006/relationships/hyperlink" Target="https://drive.google.com/open?id=1vMWaK3lMiqPHz6WpbiCj087idn4URj-b" TargetMode="External"/><Relationship Id="rId675" Type="http://schemas.openxmlformats.org/officeDocument/2006/relationships/hyperlink" Target="https://drive.google.com/open?id=1hrUlzrr3ORaZSdvqqXNuIT4x9PPu2o9H" TargetMode="External"/><Relationship Id="rId1022" Type="http://schemas.openxmlformats.org/officeDocument/2006/relationships/hyperlink" Target="https://drive.google.com/open?id=1jKaHOO9gLiCvccFplFQoG-2S3vfbfEci" TargetMode="External"/><Relationship Id="rId432" Type="http://schemas.openxmlformats.org/officeDocument/2006/relationships/hyperlink" Target="https://drive.google.com/open?id=1b0fOhD5sG6x8weDWj2THFiYzcM6sdVdg" TargetMode="External"/><Relationship Id="rId674" Type="http://schemas.openxmlformats.org/officeDocument/2006/relationships/hyperlink" Target="https://drive.google.com/open?id=19Sj0bCyPz8D3QU640bOpsMHeEJytRMAR" TargetMode="External"/><Relationship Id="rId1023" Type="http://schemas.openxmlformats.org/officeDocument/2006/relationships/hyperlink" Target="https://drive.google.com/open?id=1wh5pdmLjckDVIBEg-qJCjUrXaxy3Y55S" TargetMode="External"/><Relationship Id="rId431" Type="http://schemas.openxmlformats.org/officeDocument/2006/relationships/hyperlink" Target="https://drive.google.com/open?id=163AI-pl8wT4lMqQMK7RZhgRdIn-ibIhj" TargetMode="External"/><Relationship Id="rId673" Type="http://schemas.openxmlformats.org/officeDocument/2006/relationships/hyperlink" Target="https://drive.google.com/open?id=1zNr5T0gYK3-mWzb5Adt3Wl1CUGSPLMrB" TargetMode="External"/><Relationship Id="rId1024" Type="http://schemas.openxmlformats.org/officeDocument/2006/relationships/hyperlink" Target="https://drive.google.com/open?id=1l_StfexZmXgUt5g1Pj7TlICT79Zz-6tQ" TargetMode="External"/><Relationship Id="rId430" Type="http://schemas.openxmlformats.org/officeDocument/2006/relationships/hyperlink" Target="https://drive.google.com/open?id=1_g1kmed52bzszacDhMDqYYJ7Vvw-jwDk" TargetMode="External"/><Relationship Id="rId672" Type="http://schemas.openxmlformats.org/officeDocument/2006/relationships/hyperlink" Target="https://drive.google.com/open?id=1NJmmncrVhspXwZLPwZ7L24HwQeCuaET9" TargetMode="External"/><Relationship Id="rId1025" Type="http://schemas.openxmlformats.org/officeDocument/2006/relationships/hyperlink" Target="https://drive.google.com/open?id=1t_ozPK9lIviU3mPe35vWjzAp65MBOgF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Relationship Id="rId4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pivotTable" Target="../pivotTables/pivotTable6.xml"/><Relationship Id="rId3" Type="http://schemas.openxmlformats.org/officeDocument/2006/relationships/pivotTable" Target="../pivotTables/pivotTable7.xm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tRXObxLVi7kZNzegg9rNDy9i66AXHCSVkUazjui5JSU/edit?usp=sharing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5p1hHEvL_6drhRD645Bjo5cManPcBihC" TargetMode="External"/><Relationship Id="rId2" Type="http://schemas.openxmlformats.org/officeDocument/2006/relationships/hyperlink" Target="https://drive.google.com/open?id=19EyudNkvCkHwmABxi5spE9V7lMT40ZNf" TargetMode="External"/><Relationship Id="rId3" Type="http://schemas.openxmlformats.org/officeDocument/2006/relationships/hyperlink" Target="https://drive.google.com/open?id=1fTvxRnm1SyQyvWRFXU9ddipA4czUUJQx" TargetMode="External"/><Relationship Id="rId4" Type="http://schemas.openxmlformats.org/officeDocument/2006/relationships/hyperlink" Target="https://drive.google.com/open?id=1DcXTeN8m_rKDeMnoEBJC57p0JckEVDHu" TargetMode="External"/><Relationship Id="rId9" Type="http://schemas.openxmlformats.org/officeDocument/2006/relationships/hyperlink" Target="https://drive.google.com/open?id=1WzeTQ9Y30UxC2RrTtRX01wPYZ2S0zQch" TargetMode="External"/><Relationship Id="rId5" Type="http://schemas.openxmlformats.org/officeDocument/2006/relationships/hyperlink" Target="https://drive.google.com/open?id=1XehGREVNtETt2_ODnEWA-e8Wa8CJTWx9" TargetMode="External"/><Relationship Id="rId6" Type="http://schemas.openxmlformats.org/officeDocument/2006/relationships/hyperlink" Target="https://drive.google.com/open?id=1XGA6qYgnM9e0DYfwvMLbkbZGjpOKnvWL" TargetMode="External"/><Relationship Id="rId7" Type="http://schemas.openxmlformats.org/officeDocument/2006/relationships/hyperlink" Target="https://drive.google.com/open?id=1vPcYfeSF3J_xCVfeTKfyrxExrXk7zWv5" TargetMode="External"/><Relationship Id="rId8" Type="http://schemas.openxmlformats.org/officeDocument/2006/relationships/hyperlink" Target="https://drive.google.com/open?id=1CQYc1OedGfnT5x4m7H5Lps1jh5JphR_h" TargetMode="External"/><Relationship Id="rId11" Type="http://schemas.openxmlformats.org/officeDocument/2006/relationships/hyperlink" Target="https://drive.google.com/open?id=1XUhrOQUh7kdjQDxGbRZqbUUTY4lXxb2Y" TargetMode="External"/><Relationship Id="rId10" Type="http://schemas.openxmlformats.org/officeDocument/2006/relationships/hyperlink" Target="https://drive.google.com/open?id=1xjiwCU17Pjohd0XMzynVILY9MNm1nNdQ" TargetMode="External"/><Relationship Id="rId13" Type="http://schemas.openxmlformats.org/officeDocument/2006/relationships/drawing" Target="../drawings/drawing8.xml"/><Relationship Id="rId12" Type="http://schemas.openxmlformats.org/officeDocument/2006/relationships/hyperlink" Target="https://drive.google.com/open?id=1pgM2h7OFs3P6h1aX7rjkyd6oXI7JwGUA" TargetMode="External"/><Relationship Id="rId15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15" Type="http://schemas.openxmlformats.org/officeDocument/2006/relationships/table" Target="../tables/table9.xml"/><Relationship Id="rId14" Type="http://schemas.openxmlformats.org/officeDocument/2006/relationships/table" Target="../tables/table8.xml"/><Relationship Id="rId17" Type="http://schemas.openxmlformats.org/officeDocument/2006/relationships/table" Target="../tables/table11.xml"/><Relationship Id="rId16" Type="http://schemas.openxmlformats.org/officeDocument/2006/relationships/table" Target="../tables/table10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pivotTable" Target="../pivotTables/pivotTable9.xml"/><Relationship Id="rId3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9.25"/>
    <col customWidth="1" min="11" max="11" width="18.5"/>
    <col customWidth="1" min="12" max="12" width="18.63"/>
    <col customWidth="1" min="13" max="13" width="20.75"/>
  </cols>
  <sheetData>
    <row r="3">
      <c r="B3" s="1" t="s">
        <v>0</v>
      </c>
      <c r="C3" s="2"/>
      <c r="D3" s="2"/>
      <c r="E3" s="2"/>
      <c r="F3" s="2"/>
      <c r="G3" s="2"/>
      <c r="H3" s="3"/>
    </row>
    <row r="4">
      <c r="B4" s="4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</row>
    <row r="5">
      <c r="B5" s="6" t="s">
        <v>8</v>
      </c>
      <c r="C5" s="7" t="s">
        <v>9</v>
      </c>
      <c r="D5" s="7" t="s">
        <v>10</v>
      </c>
      <c r="E5" s="8">
        <v>5.0</v>
      </c>
      <c r="F5" s="8">
        <v>309.0</v>
      </c>
      <c r="G5" s="8">
        <v>4.0</v>
      </c>
      <c r="H5" s="8">
        <v>49.0</v>
      </c>
    </row>
    <row r="6">
      <c r="B6" s="11"/>
      <c r="C6" s="7" t="s">
        <v>14</v>
      </c>
      <c r="D6" s="7" t="s">
        <v>15</v>
      </c>
      <c r="E6" s="8">
        <v>4.0</v>
      </c>
      <c r="F6" s="8">
        <v>299.0</v>
      </c>
      <c r="G6" s="8">
        <v>13.0</v>
      </c>
      <c r="H6" s="8">
        <v>57.0</v>
      </c>
    </row>
    <row r="7">
      <c r="B7" s="11"/>
      <c r="C7" s="7" t="s">
        <v>17</v>
      </c>
      <c r="D7" s="7" t="s">
        <v>18</v>
      </c>
      <c r="E7" s="8">
        <v>6.0</v>
      </c>
      <c r="F7" s="8">
        <v>388.0</v>
      </c>
      <c r="G7" s="8">
        <v>32.0</v>
      </c>
      <c r="H7" s="8">
        <v>61.0</v>
      </c>
    </row>
    <row r="8">
      <c r="B8" s="11"/>
      <c r="C8" s="7" t="s">
        <v>20</v>
      </c>
      <c r="D8" s="7" t="s">
        <v>21</v>
      </c>
      <c r="E8" s="8">
        <v>4.0</v>
      </c>
      <c r="F8" s="8">
        <v>41.0</v>
      </c>
      <c r="G8" s="8">
        <v>23.0</v>
      </c>
      <c r="H8" s="8">
        <v>36.0</v>
      </c>
    </row>
    <row r="9">
      <c r="B9" s="14"/>
      <c r="C9" s="15" t="s">
        <v>23</v>
      </c>
      <c r="D9" s="3"/>
      <c r="E9" s="16">
        <v>19.0</v>
      </c>
      <c r="F9" s="16">
        <v>1037.0</v>
      </c>
      <c r="G9" s="16">
        <v>72.0</v>
      </c>
      <c r="H9" s="16">
        <v>203.0</v>
      </c>
    </row>
    <row r="10">
      <c r="B10" s="18" t="s">
        <v>24</v>
      </c>
      <c r="C10" s="19" t="s">
        <v>25</v>
      </c>
      <c r="D10" s="19" t="s">
        <v>26</v>
      </c>
      <c r="E10" s="20">
        <v>7.0</v>
      </c>
      <c r="F10" s="20">
        <v>56.0</v>
      </c>
      <c r="G10" s="20">
        <v>36.0</v>
      </c>
      <c r="H10" s="20">
        <v>22.0</v>
      </c>
    </row>
    <row r="11">
      <c r="B11" s="11"/>
      <c r="C11" s="19" t="s">
        <v>28</v>
      </c>
      <c r="D11" s="19" t="s">
        <v>29</v>
      </c>
      <c r="E11" s="20">
        <v>5.0</v>
      </c>
      <c r="F11" s="20">
        <v>227.0</v>
      </c>
      <c r="G11" s="20">
        <v>34.0</v>
      </c>
      <c r="H11" s="20">
        <v>48.0</v>
      </c>
    </row>
    <row r="12">
      <c r="B12" s="11"/>
      <c r="C12" s="19" t="s">
        <v>30</v>
      </c>
      <c r="D12" s="19" t="s">
        <v>31</v>
      </c>
      <c r="E12" s="20">
        <v>5.0</v>
      </c>
      <c r="F12" s="20">
        <v>133.0</v>
      </c>
      <c r="G12" s="20">
        <v>6.0</v>
      </c>
      <c r="H12" s="20">
        <v>16.0</v>
      </c>
    </row>
    <row r="13">
      <c r="B13" s="14"/>
      <c r="C13" s="15" t="s">
        <v>23</v>
      </c>
      <c r="D13" s="3"/>
      <c r="E13" s="16">
        <v>17.0</v>
      </c>
      <c r="F13" s="16">
        <v>416.0</v>
      </c>
      <c r="G13" s="16">
        <v>76.0</v>
      </c>
      <c r="H13" s="16">
        <v>86.0</v>
      </c>
    </row>
    <row r="14">
      <c r="B14" s="22" t="s">
        <v>16</v>
      </c>
      <c r="C14" s="23" t="s">
        <v>32</v>
      </c>
      <c r="D14" s="24" t="s">
        <v>33</v>
      </c>
      <c r="E14" s="23">
        <v>4.0</v>
      </c>
      <c r="F14" s="25">
        <v>10.0</v>
      </c>
      <c r="G14" s="25">
        <v>0.0</v>
      </c>
      <c r="H14" s="25">
        <v>0.0</v>
      </c>
    </row>
    <row r="15">
      <c r="B15" s="11"/>
      <c r="C15" s="23" t="s">
        <v>34</v>
      </c>
      <c r="D15" s="24" t="s">
        <v>35</v>
      </c>
      <c r="E15" s="23">
        <v>2.0</v>
      </c>
      <c r="F15" s="25">
        <v>4.0</v>
      </c>
      <c r="G15" s="25">
        <v>2.0</v>
      </c>
      <c r="H15" s="25">
        <v>0.0</v>
      </c>
    </row>
    <row r="16">
      <c r="B16" s="11"/>
      <c r="C16" s="23" t="s">
        <v>36</v>
      </c>
      <c r="D16" s="24" t="s">
        <v>37</v>
      </c>
      <c r="E16" s="23">
        <v>2.0</v>
      </c>
      <c r="F16" s="25">
        <v>0.0</v>
      </c>
      <c r="G16" s="25">
        <v>0.0</v>
      </c>
      <c r="H16" s="25">
        <v>0.0</v>
      </c>
    </row>
    <row r="17">
      <c r="B17" s="11"/>
      <c r="C17" s="23" t="s">
        <v>38</v>
      </c>
      <c r="D17" s="24" t="s">
        <v>39</v>
      </c>
      <c r="E17" s="23">
        <v>2.0</v>
      </c>
      <c r="F17" s="25">
        <v>0.0</v>
      </c>
      <c r="G17" s="25">
        <v>0.0</v>
      </c>
      <c r="H17" s="25">
        <v>0.0</v>
      </c>
    </row>
    <row r="18">
      <c r="B18" s="14"/>
      <c r="C18" s="26" t="s">
        <v>23</v>
      </c>
      <c r="D18" s="27"/>
      <c r="E18" s="28">
        <f t="shared" ref="E18:H18" si="1">SUM(E14:E17)</f>
        <v>10</v>
      </c>
      <c r="F18" s="29">
        <f t="shared" si="1"/>
        <v>14</v>
      </c>
      <c r="G18" s="29">
        <f t="shared" si="1"/>
        <v>2</v>
      </c>
      <c r="H18" s="29">
        <f t="shared" si="1"/>
        <v>0</v>
      </c>
    </row>
    <row r="19">
      <c r="B19" s="30" t="s">
        <v>40</v>
      </c>
      <c r="C19" s="31"/>
      <c r="D19" s="32"/>
      <c r="E19" s="33">
        <f>SUM(E9+E13+E18)</f>
        <v>46</v>
      </c>
      <c r="F19" s="33">
        <f>F9+F13+F18</f>
        <v>1467</v>
      </c>
      <c r="G19" s="33">
        <f t="shared" ref="G19:H19" si="2">G18+G13+G9</f>
        <v>150</v>
      </c>
      <c r="H19" s="33">
        <f t="shared" si="2"/>
        <v>289</v>
      </c>
    </row>
    <row r="23">
      <c r="B23" s="1" t="s">
        <v>41</v>
      </c>
      <c r="C23" s="2"/>
      <c r="D23" s="2"/>
      <c r="E23" s="2"/>
      <c r="F23" s="2"/>
      <c r="G23" s="2"/>
      <c r="H23" s="3"/>
    </row>
    <row r="24">
      <c r="B24" s="4" t="s">
        <v>1</v>
      </c>
      <c r="C24" s="5" t="s">
        <v>2</v>
      </c>
      <c r="D24" s="5" t="s">
        <v>3</v>
      </c>
      <c r="E24" s="5" t="s">
        <v>4</v>
      </c>
      <c r="F24" s="5" t="s">
        <v>5</v>
      </c>
      <c r="G24" s="5" t="s">
        <v>6</v>
      </c>
      <c r="H24" s="5" t="s">
        <v>7</v>
      </c>
    </row>
    <row r="25">
      <c r="B25" s="6" t="s">
        <v>8</v>
      </c>
      <c r="C25" s="7" t="s">
        <v>9</v>
      </c>
      <c r="D25" s="7" t="s">
        <v>10</v>
      </c>
      <c r="E25" s="8">
        <v>5.0</v>
      </c>
      <c r="F25" s="8">
        <v>309.0</v>
      </c>
      <c r="G25" s="8">
        <v>4.0</v>
      </c>
      <c r="H25" s="8">
        <v>49.0</v>
      </c>
    </row>
    <row r="26">
      <c r="B26" s="11"/>
      <c r="C26" s="7" t="s">
        <v>14</v>
      </c>
      <c r="D26" s="7" t="s">
        <v>15</v>
      </c>
      <c r="E26" s="8">
        <v>4.0</v>
      </c>
      <c r="F26" s="8">
        <v>299.0</v>
      </c>
      <c r="G26" s="8">
        <v>13.0</v>
      </c>
      <c r="H26" s="8">
        <v>57.0</v>
      </c>
    </row>
    <row r="27">
      <c r="B27" s="11"/>
      <c r="C27" s="7" t="s">
        <v>17</v>
      </c>
      <c r="D27" s="7" t="s">
        <v>18</v>
      </c>
      <c r="E27" s="8">
        <v>6.0</v>
      </c>
      <c r="F27" s="8">
        <v>388.0</v>
      </c>
      <c r="G27" s="8">
        <v>32.0</v>
      </c>
      <c r="H27" s="8">
        <v>61.0</v>
      </c>
    </row>
    <row r="28">
      <c r="B28" s="11"/>
      <c r="C28" s="7" t="s">
        <v>20</v>
      </c>
      <c r="D28" s="7" t="s">
        <v>21</v>
      </c>
      <c r="E28" s="8">
        <v>4.0</v>
      </c>
      <c r="F28" s="8">
        <v>41.0</v>
      </c>
      <c r="G28" s="8">
        <v>23.0</v>
      </c>
      <c r="H28" s="8">
        <v>36.0</v>
      </c>
    </row>
    <row r="29">
      <c r="B29" s="14"/>
      <c r="C29" s="15" t="s">
        <v>23</v>
      </c>
      <c r="D29" s="3"/>
      <c r="E29" s="16">
        <v>19.0</v>
      </c>
      <c r="F29" s="16">
        <v>1037.0</v>
      </c>
      <c r="G29" s="16">
        <v>72.0</v>
      </c>
      <c r="H29" s="16">
        <v>203.0</v>
      </c>
    </row>
    <row r="30">
      <c r="B30" s="18" t="s">
        <v>24</v>
      </c>
      <c r="C30" s="19" t="s">
        <v>25</v>
      </c>
      <c r="D30" s="19" t="s">
        <v>26</v>
      </c>
      <c r="E30" s="20">
        <v>7.0</v>
      </c>
      <c r="F30" s="20">
        <v>56.0</v>
      </c>
      <c r="G30" s="20">
        <v>36.0</v>
      </c>
      <c r="H30" s="20">
        <v>22.0</v>
      </c>
    </row>
    <row r="31">
      <c r="B31" s="11"/>
      <c r="C31" s="19" t="s">
        <v>28</v>
      </c>
      <c r="D31" s="19" t="s">
        <v>29</v>
      </c>
      <c r="E31" s="20">
        <v>5.0</v>
      </c>
      <c r="F31" s="20">
        <v>227.0</v>
      </c>
      <c r="G31" s="20">
        <v>34.0</v>
      </c>
      <c r="H31" s="20">
        <v>48.0</v>
      </c>
    </row>
    <row r="32">
      <c r="B32" s="11"/>
      <c r="C32" s="19" t="s">
        <v>30</v>
      </c>
      <c r="D32" s="19" t="s">
        <v>31</v>
      </c>
      <c r="E32" s="20">
        <v>5.0</v>
      </c>
      <c r="F32" s="20">
        <v>133.0</v>
      </c>
      <c r="G32" s="20">
        <v>6.0</v>
      </c>
      <c r="H32" s="20">
        <v>16.0</v>
      </c>
    </row>
    <row r="33">
      <c r="B33" s="14"/>
      <c r="C33" s="15" t="s">
        <v>23</v>
      </c>
      <c r="D33" s="3"/>
      <c r="E33" s="16">
        <v>17.0</v>
      </c>
      <c r="F33" s="16">
        <v>416.0</v>
      </c>
      <c r="G33" s="16">
        <v>76.0</v>
      </c>
      <c r="H33" s="16">
        <v>86.0</v>
      </c>
    </row>
    <row r="34">
      <c r="B34" s="22" t="s">
        <v>16</v>
      </c>
      <c r="C34" s="23" t="s">
        <v>32</v>
      </c>
      <c r="D34" s="24" t="s">
        <v>33</v>
      </c>
      <c r="E34" s="23">
        <v>4.0</v>
      </c>
      <c r="F34" s="25">
        <v>10.0</v>
      </c>
      <c r="G34" s="25">
        <v>0.0</v>
      </c>
      <c r="H34" s="25">
        <v>0.0</v>
      </c>
    </row>
    <row r="35">
      <c r="B35" s="11"/>
      <c r="C35" s="23" t="s">
        <v>34</v>
      </c>
      <c r="D35" s="24" t="s">
        <v>35</v>
      </c>
      <c r="E35" s="23">
        <v>2.0</v>
      </c>
      <c r="F35" s="25">
        <v>4.0</v>
      </c>
      <c r="G35" s="25">
        <v>2.0</v>
      </c>
      <c r="H35" s="25">
        <v>0.0</v>
      </c>
    </row>
    <row r="36">
      <c r="B36" s="11"/>
      <c r="C36" s="23" t="s">
        <v>36</v>
      </c>
      <c r="D36" s="24" t="s">
        <v>37</v>
      </c>
      <c r="E36" s="23">
        <v>2.0</v>
      </c>
      <c r="F36" s="25">
        <v>0.0</v>
      </c>
      <c r="G36" s="25">
        <v>0.0</v>
      </c>
      <c r="H36" s="25">
        <v>0.0</v>
      </c>
    </row>
    <row r="37">
      <c r="B37" s="11"/>
      <c r="C37" s="23" t="s">
        <v>38</v>
      </c>
      <c r="D37" s="24" t="s">
        <v>39</v>
      </c>
      <c r="E37" s="23">
        <v>2.0</v>
      </c>
      <c r="F37" s="25">
        <v>0.0</v>
      </c>
      <c r="G37" s="25">
        <v>0.0</v>
      </c>
      <c r="H37" s="25">
        <v>0.0</v>
      </c>
    </row>
    <row r="38">
      <c r="B38" s="14"/>
      <c r="C38" s="26" t="s">
        <v>23</v>
      </c>
      <c r="D38" s="27"/>
      <c r="E38" s="28">
        <f t="shared" ref="E38:H38" si="3">SUM(E34:E37)</f>
        <v>10</v>
      </c>
      <c r="F38" s="29">
        <f t="shared" si="3"/>
        <v>14</v>
      </c>
      <c r="G38" s="29">
        <f t="shared" si="3"/>
        <v>2</v>
      </c>
      <c r="H38" s="29">
        <f t="shared" si="3"/>
        <v>0</v>
      </c>
    </row>
    <row r="39">
      <c r="B39" s="30" t="s">
        <v>40</v>
      </c>
      <c r="C39" s="31"/>
      <c r="D39" s="32"/>
      <c r="E39" s="33">
        <f>SUM(E29+E33+E38)</f>
        <v>46</v>
      </c>
      <c r="F39" s="33">
        <f>F29+F33+F38</f>
        <v>1467</v>
      </c>
      <c r="G39" s="33">
        <f t="shared" ref="G39:H39" si="4">G38+G33+G29</f>
        <v>150</v>
      </c>
      <c r="H39" s="33">
        <f t="shared" si="4"/>
        <v>289</v>
      </c>
    </row>
    <row r="43">
      <c r="B43" s="1" t="s">
        <v>42</v>
      </c>
      <c r="C43" s="2"/>
      <c r="D43" s="2"/>
      <c r="E43" s="2"/>
      <c r="F43" s="2"/>
      <c r="G43" s="2"/>
      <c r="H43" s="3"/>
    </row>
    <row r="44">
      <c r="B44" s="4" t="s">
        <v>1</v>
      </c>
      <c r="C44" s="5" t="s">
        <v>2</v>
      </c>
      <c r="D44" s="5" t="s">
        <v>3</v>
      </c>
      <c r="E44" s="5" t="s">
        <v>4</v>
      </c>
      <c r="F44" s="5" t="s">
        <v>5</v>
      </c>
      <c r="G44" s="5" t="s">
        <v>6</v>
      </c>
      <c r="H44" s="5" t="s">
        <v>7</v>
      </c>
    </row>
    <row r="45">
      <c r="B45" s="6" t="s">
        <v>8</v>
      </c>
      <c r="C45" s="7" t="s">
        <v>9</v>
      </c>
      <c r="D45" s="7" t="s">
        <v>10</v>
      </c>
      <c r="E45" s="8">
        <v>5.0</v>
      </c>
      <c r="F45" s="7">
        <v>267.0</v>
      </c>
      <c r="G45" s="7">
        <v>5.0</v>
      </c>
      <c r="H45" s="7">
        <v>37.0</v>
      </c>
    </row>
    <row r="46">
      <c r="B46" s="11"/>
      <c r="C46" s="7" t="s">
        <v>14</v>
      </c>
      <c r="D46" s="7" t="s">
        <v>15</v>
      </c>
      <c r="E46" s="8">
        <v>4.0</v>
      </c>
      <c r="F46" s="7">
        <v>104.0</v>
      </c>
      <c r="G46" s="7">
        <v>22.0</v>
      </c>
      <c r="H46" s="7">
        <v>15.0</v>
      </c>
    </row>
    <row r="47">
      <c r="B47" s="11"/>
      <c r="C47" s="7" t="s">
        <v>17</v>
      </c>
      <c r="D47" s="7" t="s">
        <v>18</v>
      </c>
      <c r="E47" s="8">
        <v>6.0</v>
      </c>
      <c r="F47" s="7">
        <v>547.0</v>
      </c>
      <c r="G47" s="7">
        <v>72.0</v>
      </c>
      <c r="H47" s="7">
        <v>91.0</v>
      </c>
    </row>
    <row r="48">
      <c r="B48" s="11"/>
      <c r="C48" s="7" t="s">
        <v>20</v>
      </c>
      <c r="D48" s="7" t="s">
        <v>21</v>
      </c>
      <c r="E48" s="8">
        <v>4.0</v>
      </c>
      <c r="F48" s="7">
        <v>100.0</v>
      </c>
      <c r="G48" s="7">
        <v>2.0</v>
      </c>
      <c r="H48" s="7">
        <v>21.0</v>
      </c>
    </row>
    <row r="49">
      <c r="B49" s="14"/>
      <c r="C49" s="15" t="s">
        <v>23</v>
      </c>
      <c r="D49" s="3"/>
      <c r="E49" s="16">
        <v>19.0</v>
      </c>
      <c r="F49" s="16">
        <f t="shared" ref="F49:H49" si="5">SUM(F45:F48)</f>
        <v>1018</v>
      </c>
      <c r="G49" s="16">
        <f t="shared" si="5"/>
        <v>101</v>
      </c>
      <c r="H49" s="16">
        <f t="shared" si="5"/>
        <v>164</v>
      </c>
    </row>
    <row r="50">
      <c r="B50" s="18" t="s">
        <v>24</v>
      </c>
      <c r="C50" s="19" t="s">
        <v>25</v>
      </c>
      <c r="D50" s="19" t="s">
        <v>26</v>
      </c>
      <c r="E50" s="20">
        <v>7.0</v>
      </c>
      <c r="F50" s="34">
        <v>280.0</v>
      </c>
      <c r="G50" s="34">
        <v>108.0</v>
      </c>
      <c r="H50" s="34">
        <v>46.0</v>
      </c>
    </row>
    <row r="51">
      <c r="B51" s="11"/>
      <c r="C51" s="19" t="s">
        <v>28</v>
      </c>
      <c r="D51" s="19" t="s">
        <v>29</v>
      </c>
      <c r="E51" s="20">
        <v>5.0</v>
      </c>
      <c r="F51" s="34">
        <v>296.0</v>
      </c>
      <c r="G51" s="34">
        <v>55.0</v>
      </c>
      <c r="H51" s="34">
        <v>5.0</v>
      </c>
    </row>
    <row r="52">
      <c r="B52" s="11"/>
      <c r="C52" s="19" t="s">
        <v>30</v>
      </c>
      <c r="D52" s="19" t="s">
        <v>31</v>
      </c>
      <c r="E52" s="20">
        <v>5.0</v>
      </c>
      <c r="F52" s="34">
        <v>385.0</v>
      </c>
      <c r="G52" s="34">
        <v>26.0</v>
      </c>
      <c r="H52" s="34">
        <v>15.0</v>
      </c>
    </row>
    <row r="53">
      <c r="B53" s="14"/>
      <c r="C53" s="15" t="s">
        <v>23</v>
      </c>
      <c r="D53" s="3"/>
      <c r="E53" s="16">
        <v>17.0</v>
      </c>
      <c r="F53" s="16">
        <f t="shared" ref="F53:H53" si="6">SUM(F49:F52)</f>
        <v>1979</v>
      </c>
      <c r="G53" s="16">
        <f t="shared" si="6"/>
        <v>290</v>
      </c>
      <c r="H53" s="16">
        <f t="shared" si="6"/>
        <v>230</v>
      </c>
    </row>
    <row r="54">
      <c r="B54" s="22" t="s">
        <v>16</v>
      </c>
      <c r="C54" s="23" t="s">
        <v>32</v>
      </c>
      <c r="D54" s="24" t="s">
        <v>33</v>
      </c>
      <c r="E54" s="23">
        <v>4.0</v>
      </c>
      <c r="F54" s="35">
        <v>20.0</v>
      </c>
      <c r="G54" s="35">
        <v>0.0</v>
      </c>
      <c r="H54" s="35">
        <v>5.0</v>
      </c>
    </row>
    <row r="55">
      <c r="B55" s="11"/>
      <c r="C55" s="23" t="s">
        <v>34</v>
      </c>
      <c r="D55" s="24" t="s">
        <v>35</v>
      </c>
      <c r="E55" s="23">
        <v>2.0</v>
      </c>
      <c r="F55" s="25"/>
      <c r="G55" s="25"/>
      <c r="H55" s="25"/>
    </row>
    <row r="56">
      <c r="B56" s="11"/>
      <c r="C56" s="23" t="s">
        <v>36</v>
      </c>
      <c r="D56" s="24" t="s">
        <v>37</v>
      </c>
      <c r="E56" s="23">
        <v>2.0</v>
      </c>
      <c r="F56" s="25"/>
      <c r="G56" s="25"/>
      <c r="H56" s="25"/>
    </row>
    <row r="57">
      <c r="B57" s="11"/>
      <c r="C57" s="23" t="s">
        <v>38</v>
      </c>
      <c r="D57" s="24" t="s">
        <v>39</v>
      </c>
      <c r="E57" s="23">
        <v>2.0</v>
      </c>
      <c r="F57" s="35">
        <v>10.0</v>
      </c>
      <c r="G57" s="35">
        <v>0.0</v>
      </c>
      <c r="H57" s="35">
        <v>10.0</v>
      </c>
    </row>
    <row r="58">
      <c r="B58" s="14"/>
      <c r="C58" s="26" t="s">
        <v>23</v>
      </c>
      <c r="D58" s="27"/>
      <c r="E58" s="28">
        <f>SUM(E54:E57)</f>
        <v>10</v>
      </c>
      <c r="F58" s="29"/>
      <c r="G58" s="29"/>
      <c r="H58" s="29"/>
    </row>
  </sheetData>
  <mergeCells count="23">
    <mergeCell ref="B3:H3"/>
    <mergeCell ref="B5:B9"/>
    <mergeCell ref="C9:D9"/>
    <mergeCell ref="B10:B13"/>
    <mergeCell ref="C13:D13"/>
    <mergeCell ref="B14:B18"/>
    <mergeCell ref="C18:D18"/>
    <mergeCell ref="C38:D38"/>
    <mergeCell ref="B39:D39"/>
    <mergeCell ref="B45:B49"/>
    <mergeCell ref="C49:D49"/>
    <mergeCell ref="B50:B53"/>
    <mergeCell ref="C53:D53"/>
    <mergeCell ref="B54:B58"/>
    <mergeCell ref="C58:D58"/>
    <mergeCell ref="B19:D19"/>
    <mergeCell ref="B23:H23"/>
    <mergeCell ref="B25:B29"/>
    <mergeCell ref="C29:D29"/>
    <mergeCell ref="B30:B33"/>
    <mergeCell ref="C33:D33"/>
    <mergeCell ref="B34:B38"/>
    <mergeCell ref="B43:H43"/>
  </mergeCell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37.63"/>
    <col customWidth="1" min="8" max="8" width="35.38"/>
    <col customWidth="1" min="9" max="9" width="18.88"/>
    <col customWidth="1" min="10" max="11" width="37.63"/>
    <col customWidth="1" min="12" max="12" width="20.25"/>
    <col customWidth="1" min="13" max="13" width="78.5"/>
    <col customWidth="1" min="14" max="14" width="31.5"/>
    <col customWidth="1" min="15" max="24" width="18.88"/>
  </cols>
  <sheetData>
    <row r="1" ht="22.5" customHeight="1">
      <c r="A1" s="36" t="s">
        <v>43</v>
      </c>
      <c r="B1" s="36" t="s">
        <v>44</v>
      </c>
      <c r="C1" s="36" t="s">
        <v>1</v>
      </c>
      <c r="D1" s="36" t="s">
        <v>3</v>
      </c>
      <c r="E1" s="36" t="s">
        <v>45</v>
      </c>
      <c r="F1" s="36" t="s">
        <v>46</v>
      </c>
      <c r="G1" s="36" t="s">
        <v>47</v>
      </c>
      <c r="H1" s="36" t="s">
        <v>48</v>
      </c>
      <c r="I1" s="36" t="s">
        <v>49</v>
      </c>
      <c r="J1" s="36" t="s">
        <v>50</v>
      </c>
      <c r="K1" s="36" t="s">
        <v>51</v>
      </c>
      <c r="L1" s="36" t="s">
        <v>52</v>
      </c>
      <c r="M1" s="37" t="s">
        <v>53</v>
      </c>
      <c r="N1" s="37" t="s">
        <v>54</v>
      </c>
      <c r="O1" s="38" t="s">
        <v>55</v>
      </c>
      <c r="P1" s="38" t="s">
        <v>56</v>
      </c>
      <c r="Q1" s="38" t="s">
        <v>57</v>
      </c>
      <c r="R1" s="38" t="s">
        <v>58</v>
      </c>
      <c r="S1" s="39" t="s">
        <v>59</v>
      </c>
      <c r="T1" s="39" t="s">
        <v>60</v>
      </c>
      <c r="U1" s="21" t="s">
        <v>61</v>
      </c>
      <c r="V1" s="21" t="s">
        <v>61</v>
      </c>
      <c r="W1" s="21" t="s">
        <v>61</v>
      </c>
      <c r="X1" s="21" t="s">
        <v>61</v>
      </c>
    </row>
    <row r="2" ht="22.5" customHeight="1">
      <c r="A2" s="40">
        <v>46204.85850792824</v>
      </c>
      <c r="B2" s="41">
        <v>46204.0</v>
      </c>
      <c r="C2" s="42" t="s">
        <v>22</v>
      </c>
      <c r="D2" s="42" t="s">
        <v>26</v>
      </c>
      <c r="E2" s="42" t="s">
        <v>62</v>
      </c>
      <c r="F2" s="42" t="s">
        <v>63</v>
      </c>
      <c r="G2" s="43" t="s">
        <v>64</v>
      </c>
      <c r="H2" s="42">
        <v>15.0</v>
      </c>
      <c r="J2" s="42">
        <v>1.0</v>
      </c>
      <c r="K2" s="42">
        <v>2.0</v>
      </c>
      <c r="L2" s="43" t="s">
        <v>65</v>
      </c>
      <c r="M2" s="44" t="s">
        <v>66</v>
      </c>
      <c r="N2" s="44" t="s">
        <v>67</v>
      </c>
      <c r="O2" s="43" t="s">
        <v>68</v>
      </c>
      <c r="P2" s="42">
        <v>1.0</v>
      </c>
      <c r="Q2" s="45"/>
      <c r="R2" s="45"/>
      <c r="S2" s="46"/>
      <c r="T2" s="46"/>
    </row>
    <row r="3" ht="22.5" customHeight="1">
      <c r="A3" s="40">
        <v>46205.71671493056</v>
      </c>
      <c r="B3" s="41">
        <v>46205.0</v>
      </c>
      <c r="C3" s="42" t="s">
        <v>22</v>
      </c>
      <c r="D3" s="42" t="s">
        <v>26</v>
      </c>
      <c r="E3" s="42" t="s">
        <v>62</v>
      </c>
      <c r="F3" s="42" t="s">
        <v>69</v>
      </c>
      <c r="G3" s="43" t="s">
        <v>70</v>
      </c>
      <c r="H3" s="42">
        <v>15.0</v>
      </c>
      <c r="J3" s="42">
        <v>1.0</v>
      </c>
      <c r="K3" s="42">
        <v>2.0</v>
      </c>
      <c r="L3" s="43" t="s">
        <v>71</v>
      </c>
      <c r="M3" s="44" t="s">
        <v>72</v>
      </c>
      <c r="N3" s="44" t="s">
        <v>73</v>
      </c>
      <c r="O3" s="43" t="s">
        <v>74</v>
      </c>
      <c r="P3" s="42">
        <v>3.0</v>
      </c>
      <c r="Q3" s="45"/>
      <c r="R3" s="45"/>
      <c r="S3" s="46"/>
      <c r="T3" s="46"/>
    </row>
    <row r="4" ht="22.5" customHeight="1">
      <c r="A4" s="40">
        <v>46206.86983243056</v>
      </c>
      <c r="B4" s="41">
        <v>46206.0</v>
      </c>
      <c r="C4" s="42" t="s">
        <v>22</v>
      </c>
      <c r="D4" s="42" t="s">
        <v>26</v>
      </c>
      <c r="E4" s="42" t="s">
        <v>62</v>
      </c>
      <c r="F4" s="42" t="s">
        <v>69</v>
      </c>
      <c r="G4" s="43" t="s">
        <v>75</v>
      </c>
      <c r="H4" s="42">
        <v>17.0</v>
      </c>
      <c r="J4" s="42">
        <v>0.0</v>
      </c>
      <c r="K4" s="42">
        <v>4.0</v>
      </c>
      <c r="L4" s="43" t="s">
        <v>76</v>
      </c>
      <c r="M4" s="42">
        <v>0.0</v>
      </c>
      <c r="N4" s="42" t="s">
        <v>77</v>
      </c>
      <c r="O4" s="43" t="s">
        <v>78</v>
      </c>
      <c r="P4" s="42">
        <v>0.0</v>
      </c>
      <c r="Q4" s="45"/>
      <c r="R4" s="45"/>
      <c r="S4" s="46"/>
      <c r="T4" s="46"/>
    </row>
    <row r="5" ht="22.5" customHeight="1">
      <c r="A5" s="40">
        <v>46209.4995871875</v>
      </c>
      <c r="B5" s="41">
        <v>46207.0</v>
      </c>
      <c r="C5" s="42" t="s">
        <v>22</v>
      </c>
      <c r="D5" s="42" t="s">
        <v>26</v>
      </c>
      <c r="E5" s="42" t="s">
        <v>62</v>
      </c>
      <c r="F5" s="42" t="s">
        <v>69</v>
      </c>
      <c r="G5" s="43" t="s">
        <v>79</v>
      </c>
      <c r="H5" s="42">
        <v>18.0</v>
      </c>
      <c r="J5" s="42">
        <v>0.0</v>
      </c>
      <c r="K5" s="42">
        <v>3.0</v>
      </c>
      <c r="L5" s="43" t="s">
        <v>80</v>
      </c>
      <c r="M5" s="42">
        <v>0.0</v>
      </c>
      <c r="N5" s="42" t="s">
        <v>81</v>
      </c>
      <c r="O5" s="43" t="s">
        <v>82</v>
      </c>
      <c r="P5" s="42">
        <v>0.0</v>
      </c>
      <c r="Q5" s="45"/>
      <c r="R5" s="45"/>
      <c r="S5" s="46"/>
      <c r="T5" s="46"/>
    </row>
    <row r="6" ht="22.5" customHeight="1">
      <c r="A6" s="40">
        <v>46209.5027696412</v>
      </c>
      <c r="B6" s="41">
        <v>46208.0</v>
      </c>
      <c r="C6" s="42" t="s">
        <v>22</v>
      </c>
      <c r="D6" s="42" t="s">
        <v>26</v>
      </c>
      <c r="E6" s="42" t="s">
        <v>62</v>
      </c>
      <c r="F6" s="42" t="s">
        <v>69</v>
      </c>
      <c r="G6" s="43" t="s">
        <v>83</v>
      </c>
      <c r="H6" s="42">
        <v>19.0</v>
      </c>
      <c r="J6" s="42">
        <v>2.0</v>
      </c>
      <c r="K6" s="42">
        <v>4.0</v>
      </c>
      <c r="L6" s="43" t="s">
        <v>84</v>
      </c>
      <c r="M6" s="44" t="s">
        <v>85</v>
      </c>
      <c r="N6" s="42" t="s">
        <v>86</v>
      </c>
      <c r="O6" s="43" t="s">
        <v>87</v>
      </c>
      <c r="P6" s="42">
        <v>0.0</v>
      </c>
      <c r="Q6" s="45"/>
      <c r="R6" s="45"/>
      <c r="S6" s="46"/>
      <c r="T6" s="46"/>
    </row>
    <row r="7" ht="22.5" customHeight="1">
      <c r="A7" s="40">
        <v>46209.82753385417</v>
      </c>
      <c r="B7" s="41">
        <v>46209.0</v>
      </c>
      <c r="C7" s="42" t="s">
        <v>22</v>
      </c>
      <c r="D7" s="42" t="s">
        <v>26</v>
      </c>
      <c r="E7" s="42" t="s">
        <v>62</v>
      </c>
      <c r="F7" s="42" t="s">
        <v>69</v>
      </c>
      <c r="G7" s="43" t="s">
        <v>88</v>
      </c>
      <c r="H7" s="42">
        <v>13.0</v>
      </c>
      <c r="J7" s="42">
        <v>2.0</v>
      </c>
      <c r="K7" s="42">
        <v>6.0</v>
      </c>
      <c r="L7" s="43" t="s">
        <v>89</v>
      </c>
      <c r="M7" s="44" t="s">
        <v>90</v>
      </c>
      <c r="N7" s="44" t="s">
        <v>73</v>
      </c>
      <c r="O7" s="43" t="s">
        <v>91</v>
      </c>
      <c r="P7" s="42">
        <v>0.0</v>
      </c>
      <c r="Q7" s="45"/>
      <c r="R7" s="45"/>
      <c r="T7" s="47"/>
    </row>
    <row r="8" ht="22.5" customHeight="1">
      <c r="A8" s="40">
        <v>46210.760691828706</v>
      </c>
      <c r="B8" s="41">
        <v>46210.0</v>
      </c>
      <c r="C8" s="42" t="s">
        <v>22</v>
      </c>
      <c r="D8" s="42" t="s">
        <v>26</v>
      </c>
      <c r="E8" s="42" t="s">
        <v>62</v>
      </c>
      <c r="F8" s="42" t="s">
        <v>69</v>
      </c>
      <c r="G8" s="43" t="s">
        <v>92</v>
      </c>
      <c r="H8" s="42">
        <v>20.0</v>
      </c>
      <c r="J8" s="42">
        <v>4.0</v>
      </c>
      <c r="K8" s="42">
        <v>7.0</v>
      </c>
      <c r="L8" s="43" t="s">
        <v>93</v>
      </c>
      <c r="M8" s="44" t="s">
        <v>94</v>
      </c>
      <c r="N8" s="44" t="s">
        <v>95</v>
      </c>
      <c r="O8" s="43" t="s">
        <v>96</v>
      </c>
      <c r="P8" s="42">
        <v>0.0</v>
      </c>
      <c r="T8" s="47"/>
    </row>
    <row r="9" ht="22.5" customHeight="1">
      <c r="A9" s="40">
        <v>46203.81542907408</v>
      </c>
      <c r="B9" s="41">
        <v>46203.0</v>
      </c>
      <c r="C9" s="42" t="s">
        <v>22</v>
      </c>
      <c r="D9" s="42" t="s">
        <v>29</v>
      </c>
      <c r="E9" s="42" t="s">
        <v>97</v>
      </c>
      <c r="F9" s="42" t="s">
        <v>98</v>
      </c>
      <c r="G9" s="43" t="s">
        <v>99</v>
      </c>
      <c r="H9" s="42" t="s">
        <v>100</v>
      </c>
      <c r="J9" s="42">
        <v>0.0</v>
      </c>
      <c r="K9" s="42">
        <v>5.0</v>
      </c>
      <c r="L9" s="43" t="s">
        <v>101</v>
      </c>
      <c r="M9" s="48">
        <v>0.0</v>
      </c>
      <c r="N9" s="48" t="s">
        <v>102</v>
      </c>
      <c r="O9" s="43" t="s">
        <v>103</v>
      </c>
      <c r="P9" s="42">
        <v>5.0</v>
      </c>
      <c r="Q9" s="45"/>
      <c r="R9" s="45"/>
      <c r="S9" s="46"/>
      <c r="T9" s="46"/>
    </row>
    <row r="10" ht="22.5" customHeight="1">
      <c r="A10" s="40">
        <v>46205.470302534726</v>
      </c>
      <c r="B10" s="41">
        <v>46204.0</v>
      </c>
      <c r="C10" s="42" t="s">
        <v>22</v>
      </c>
      <c r="D10" s="42" t="s">
        <v>29</v>
      </c>
      <c r="E10" s="42" t="s">
        <v>97</v>
      </c>
      <c r="F10" s="42" t="s">
        <v>104</v>
      </c>
      <c r="G10" s="43" t="s">
        <v>105</v>
      </c>
      <c r="H10" s="42">
        <v>23.0</v>
      </c>
      <c r="J10" s="42">
        <v>0.0</v>
      </c>
      <c r="K10" s="42">
        <v>9.0</v>
      </c>
      <c r="L10" s="43" t="s">
        <v>106</v>
      </c>
      <c r="M10" s="42">
        <v>0.0</v>
      </c>
      <c r="N10" s="42" t="s">
        <v>107</v>
      </c>
      <c r="O10" s="43" t="s">
        <v>108</v>
      </c>
      <c r="P10" s="42">
        <v>13.0</v>
      </c>
      <c r="Q10" s="45"/>
      <c r="R10" s="45"/>
      <c r="S10" s="46"/>
      <c r="T10" s="46"/>
    </row>
    <row r="11" ht="22.5" customHeight="1">
      <c r="A11" s="40">
        <v>46206.596710046295</v>
      </c>
      <c r="B11" s="41">
        <v>46205.0</v>
      </c>
      <c r="C11" s="42" t="s">
        <v>22</v>
      </c>
      <c r="D11" s="42" t="s">
        <v>29</v>
      </c>
      <c r="E11" s="42" t="s">
        <v>97</v>
      </c>
      <c r="F11" s="42" t="s">
        <v>98</v>
      </c>
      <c r="G11" s="43" t="s">
        <v>109</v>
      </c>
      <c r="H11" s="42">
        <v>27.0</v>
      </c>
      <c r="J11" s="42">
        <v>0.0</v>
      </c>
      <c r="K11" s="42">
        <v>10.0</v>
      </c>
      <c r="L11" s="43" t="s">
        <v>110</v>
      </c>
      <c r="M11" s="42">
        <v>0.0</v>
      </c>
      <c r="N11" s="42" t="s">
        <v>111</v>
      </c>
      <c r="O11" s="43" t="s">
        <v>112</v>
      </c>
      <c r="P11" s="42">
        <v>13.0</v>
      </c>
      <c r="Q11" s="45"/>
      <c r="R11" s="45"/>
      <c r="S11" s="46"/>
      <c r="T11" s="46"/>
    </row>
    <row r="12" ht="22.5" customHeight="1">
      <c r="A12" s="40">
        <v>46205.75187853009</v>
      </c>
      <c r="B12" s="41">
        <v>46205.0</v>
      </c>
      <c r="C12" s="42" t="s">
        <v>19</v>
      </c>
      <c r="D12" s="42" t="s">
        <v>18</v>
      </c>
      <c r="E12" s="42" t="s">
        <v>113</v>
      </c>
      <c r="F12" s="42" t="s">
        <v>114</v>
      </c>
      <c r="G12" s="43" t="s">
        <v>115</v>
      </c>
      <c r="H12" s="42">
        <v>10.0</v>
      </c>
      <c r="J12" s="42">
        <v>1.0</v>
      </c>
      <c r="K12" s="42">
        <v>3.0</v>
      </c>
      <c r="L12" s="43" t="s">
        <v>116</v>
      </c>
      <c r="M12" s="44" t="s">
        <v>117</v>
      </c>
      <c r="N12" s="42" t="s">
        <v>118</v>
      </c>
      <c r="O12" s="43" t="s">
        <v>119</v>
      </c>
      <c r="P12" s="42">
        <v>8.0</v>
      </c>
      <c r="Q12" s="45"/>
      <c r="R12" s="45"/>
      <c r="S12" s="46"/>
      <c r="T12" s="46"/>
    </row>
    <row r="13" ht="22.5" customHeight="1">
      <c r="A13" s="40">
        <v>46206.81484452546</v>
      </c>
      <c r="B13" s="41">
        <v>46206.0</v>
      </c>
      <c r="C13" s="42" t="s">
        <v>19</v>
      </c>
      <c r="D13" s="42" t="s">
        <v>18</v>
      </c>
      <c r="E13" s="42" t="s">
        <v>113</v>
      </c>
      <c r="F13" s="42" t="s">
        <v>120</v>
      </c>
      <c r="G13" s="43" t="s">
        <v>121</v>
      </c>
      <c r="H13" s="42" t="s">
        <v>122</v>
      </c>
      <c r="J13" s="42" t="s">
        <v>123</v>
      </c>
      <c r="K13" s="42" t="s">
        <v>124</v>
      </c>
      <c r="L13" s="43" t="s">
        <v>125</v>
      </c>
      <c r="M13" s="42" t="s">
        <v>126</v>
      </c>
      <c r="N13" s="42" t="s">
        <v>124</v>
      </c>
      <c r="O13" s="43" t="s">
        <v>127</v>
      </c>
      <c r="P13" s="42" t="s">
        <v>123</v>
      </c>
      <c r="Q13" s="45"/>
      <c r="R13" s="45"/>
      <c r="S13" s="46"/>
      <c r="T13" s="46"/>
    </row>
    <row r="14" ht="22.5" customHeight="1">
      <c r="A14" s="40">
        <v>46209.5007118287</v>
      </c>
      <c r="B14" s="41">
        <v>46208.0</v>
      </c>
      <c r="C14" s="42" t="s">
        <v>19</v>
      </c>
      <c r="D14" s="42" t="s">
        <v>18</v>
      </c>
      <c r="E14" s="42" t="s">
        <v>113</v>
      </c>
      <c r="F14" s="42" t="s">
        <v>114</v>
      </c>
      <c r="G14" s="43" t="s">
        <v>128</v>
      </c>
      <c r="H14" s="42" t="s">
        <v>129</v>
      </c>
      <c r="J14" s="42" t="s">
        <v>124</v>
      </c>
      <c r="K14" s="42" t="s">
        <v>124</v>
      </c>
      <c r="M14" s="42" t="s">
        <v>124</v>
      </c>
      <c r="N14" s="42" t="s">
        <v>124</v>
      </c>
      <c r="O14" s="43" t="s">
        <v>130</v>
      </c>
      <c r="P14" s="42" t="s">
        <v>124</v>
      </c>
      <c r="Q14" s="45"/>
      <c r="R14" s="45"/>
      <c r="S14" s="46"/>
      <c r="T14" s="46"/>
    </row>
    <row r="15" ht="22.5" customHeight="1">
      <c r="A15" s="40">
        <v>46209.827738611115</v>
      </c>
      <c r="B15" s="41">
        <v>46209.0</v>
      </c>
      <c r="C15" s="42" t="s">
        <v>19</v>
      </c>
      <c r="D15" s="42" t="s">
        <v>18</v>
      </c>
      <c r="E15" s="42" t="s">
        <v>113</v>
      </c>
      <c r="F15" s="42" t="s">
        <v>114</v>
      </c>
      <c r="G15" s="43" t="s">
        <v>131</v>
      </c>
      <c r="H15" s="42">
        <v>4.0</v>
      </c>
      <c r="J15" s="42">
        <v>1.0</v>
      </c>
      <c r="K15" s="42">
        <v>0.0</v>
      </c>
      <c r="L15" s="43" t="s">
        <v>132</v>
      </c>
      <c r="M15" s="44" t="s">
        <v>133</v>
      </c>
      <c r="N15" s="42">
        <v>0.0</v>
      </c>
      <c r="O15" s="43" t="s">
        <v>134</v>
      </c>
      <c r="P15" s="42">
        <v>3.0</v>
      </c>
      <c r="Q15" s="45"/>
      <c r="R15" s="45"/>
      <c r="T15" s="47"/>
    </row>
    <row r="16" ht="22.5" customHeight="1">
      <c r="A16" s="40">
        <v>46210.91021771991</v>
      </c>
      <c r="B16" s="41">
        <v>46210.0</v>
      </c>
      <c r="C16" s="42" t="s">
        <v>19</v>
      </c>
      <c r="D16" s="42" t="s">
        <v>18</v>
      </c>
      <c r="E16" s="42" t="s">
        <v>113</v>
      </c>
      <c r="F16" s="42" t="s">
        <v>114</v>
      </c>
      <c r="G16" s="43" t="s">
        <v>135</v>
      </c>
      <c r="H16" s="42">
        <v>9.0</v>
      </c>
      <c r="J16" s="42">
        <v>1.0</v>
      </c>
      <c r="K16" s="42">
        <v>1.0</v>
      </c>
      <c r="L16" s="43" t="s">
        <v>136</v>
      </c>
      <c r="M16" s="44" t="s">
        <v>133</v>
      </c>
      <c r="N16" s="44" t="s">
        <v>137</v>
      </c>
      <c r="O16" s="43" t="s">
        <v>138</v>
      </c>
      <c r="P16" s="42">
        <v>3.0</v>
      </c>
      <c r="T16" s="47"/>
    </row>
    <row r="17" ht="22.5" customHeight="1">
      <c r="A17" s="40">
        <v>46203.7178215625</v>
      </c>
      <c r="B17" s="41">
        <v>46203.0</v>
      </c>
      <c r="C17" s="42" t="s">
        <v>22</v>
      </c>
      <c r="D17" s="42" t="s">
        <v>29</v>
      </c>
      <c r="E17" s="42" t="s">
        <v>139</v>
      </c>
      <c r="F17" s="42" t="s">
        <v>140</v>
      </c>
      <c r="G17" s="43" t="s">
        <v>141</v>
      </c>
      <c r="H17" s="42">
        <v>26.0</v>
      </c>
      <c r="J17" s="42">
        <v>0.0</v>
      </c>
      <c r="K17" s="42">
        <v>1.0</v>
      </c>
      <c r="L17" s="43" t="s">
        <v>142</v>
      </c>
      <c r="M17" s="48">
        <v>0.0</v>
      </c>
      <c r="N17" s="49" t="s">
        <v>143</v>
      </c>
      <c r="O17" s="43" t="s">
        <v>144</v>
      </c>
      <c r="P17" s="42">
        <v>1.0</v>
      </c>
      <c r="Q17" s="45"/>
      <c r="R17" s="45"/>
      <c r="S17" s="46"/>
      <c r="T17" s="46"/>
    </row>
    <row r="18" ht="22.5" customHeight="1">
      <c r="A18" s="40">
        <v>46204.75562524305</v>
      </c>
      <c r="B18" s="41">
        <v>46204.0</v>
      </c>
      <c r="C18" s="42" t="s">
        <v>22</v>
      </c>
      <c r="D18" s="42" t="s">
        <v>29</v>
      </c>
      <c r="E18" s="42" t="s">
        <v>139</v>
      </c>
      <c r="F18" s="42" t="s">
        <v>140</v>
      </c>
      <c r="G18" s="43" t="s">
        <v>145</v>
      </c>
      <c r="H18" s="42">
        <v>32.0</v>
      </c>
      <c r="J18" s="42">
        <v>1.0</v>
      </c>
      <c r="K18" s="42">
        <v>7.0</v>
      </c>
      <c r="L18" s="43" t="s">
        <v>146</v>
      </c>
      <c r="M18" s="44" t="s">
        <v>147</v>
      </c>
      <c r="N18" s="42" t="s">
        <v>148</v>
      </c>
      <c r="O18" s="43" t="s">
        <v>149</v>
      </c>
      <c r="P18" s="42">
        <v>5.0</v>
      </c>
      <c r="Q18" s="45"/>
      <c r="R18" s="45"/>
      <c r="S18" s="46"/>
      <c r="T18" s="46"/>
    </row>
    <row r="19" ht="22.5" customHeight="1">
      <c r="A19" s="40">
        <v>46205.66695835648</v>
      </c>
      <c r="B19" s="41">
        <v>46205.0</v>
      </c>
      <c r="C19" s="42" t="s">
        <v>22</v>
      </c>
      <c r="D19" s="42" t="s">
        <v>29</v>
      </c>
      <c r="E19" s="42" t="s">
        <v>139</v>
      </c>
      <c r="F19" s="42" t="s">
        <v>140</v>
      </c>
      <c r="G19" s="43" t="s">
        <v>150</v>
      </c>
      <c r="H19" s="42">
        <v>44.0</v>
      </c>
      <c r="J19" s="42">
        <v>2.0</v>
      </c>
      <c r="K19" s="42">
        <v>6.0</v>
      </c>
      <c r="L19" s="43" t="s">
        <v>151</v>
      </c>
      <c r="M19" s="42" t="s">
        <v>152</v>
      </c>
      <c r="N19" s="42" t="s">
        <v>153</v>
      </c>
      <c r="O19" s="43" t="s">
        <v>154</v>
      </c>
      <c r="P19" s="42">
        <v>1.0</v>
      </c>
      <c r="Q19" s="45"/>
      <c r="R19" s="45"/>
      <c r="S19" s="46"/>
      <c r="T19" s="46"/>
    </row>
    <row r="20" ht="22.5" customHeight="1">
      <c r="A20" s="40">
        <v>46206.73135688658</v>
      </c>
      <c r="B20" s="41">
        <v>46206.0</v>
      </c>
      <c r="C20" s="42" t="s">
        <v>22</v>
      </c>
      <c r="D20" s="42" t="s">
        <v>29</v>
      </c>
      <c r="E20" s="42" t="s">
        <v>139</v>
      </c>
      <c r="F20" s="42" t="s">
        <v>140</v>
      </c>
      <c r="G20" s="43" t="s">
        <v>155</v>
      </c>
      <c r="H20" s="42">
        <v>23.0</v>
      </c>
      <c r="J20" s="42">
        <v>0.0</v>
      </c>
      <c r="K20" s="42">
        <v>6.0</v>
      </c>
      <c r="L20" s="43" t="s">
        <v>156</v>
      </c>
      <c r="M20" s="42">
        <v>0.0</v>
      </c>
      <c r="N20" s="42" t="s">
        <v>157</v>
      </c>
      <c r="O20" s="43" t="s">
        <v>158</v>
      </c>
      <c r="P20" s="42">
        <v>4.0</v>
      </c>
      <c r="Q20" s="45"/>
      <c r="R20" s="45"/>
      <c r="S20" s="46"/>
      <c r="T20" s="46"/>
    </row>
    <row r="21" ht="22.5" customHeight="1">
      <c r="A21" s="40">
        <v>46209.38322043981</v>
      </c>
      <c r="B21" s="41">
        <v>46207.0</v>
      </c>
      <c r="C21" s="42" t="s">
        <v>22</v>
      </c>
      <c r="D21" s="42" t="s">
        <v>29</v>
      </c>
      <c r="E21" s="42" t="s">
        <v>139</v>
      </c>
      <c r="F21" s="42" t="s">
        <v>159</v>
      </c>
      <c r="G21" s="43" t="s">
        <v>160</v>
      </c>
      <c r="H21" s="42">
        <v>26.0</v>
      </c>
      <c r="J21" s="42">
        <v>0.0</v>
      </c>
      <c r="K21" s="42">
        <v>1.0</v>
      </c>
      <c r="L21" s="43" t="s">
        <v>161</v>
      </c>
      <c r="M21" s="42">
        <v>0.0</v>
      </c>
      <c r="N21" s="44" t="s">
        <v>162</v>
      </c>
      <c r="O21" s="43" t="s">
        <v>163</v>
      </c>
      <c r="P21" s="42">
        <v>3.0</v>
      </c>
      <c r="Q21" s="45"/>
      <c r="R21" s="45"/>
      <c r="S21" s="46"/>
      <c r="T21" s="46"/>
    </row>
    <row r="22" ht="22.5" customHeight="1">
      <c r="A22" s="40">
        <v>46209.67010832176</v>
      </c>
      <c r="B22" s="41">
        <v>46209.0</v>
      </c>
      <c r="C22" s="42" t="s">
        <v>22</v>
      </c>
      <c r="D22" s="42" t="s">
        <v>29</v>
      </c>
      <c r="E22" s="42" t="s">
        <v>139</v>
      </c>
      <c r="F22" s="42" t="s">
        <v>140</v>
      </c>
      <c r="G22" s="43" t="s">
        <v>164</v>
      </c>
      <c r="H22" s="42">
        <v>35.0</v>
      </c>
      <c r="J22" s="42">
        <v>0.0</v>
      </c>
      <c r="K22" s="42">
        <v>10.0</v>
      </c>
      <c r="L22" s="43" t="s">
        <v>165</v>
      </c>
      <c r="M22" s="42">
        <v>0.0</v>
      </c>
      <c r="N22" s="42" t="s">
        <v>166</v>
      </c>
      <c r="O22" s="43" t="s">
        <v>167</v>
      </c>
      <c r="P22" s="42">
        <v>2.0</v>
      </c>
      <c r="Q22" s="45"/>
      <c r="R22" s="45"/>
      <c r="T22" s="47"/>
    </row>
    <row r="23" ht="22.5" customHeight="1">
      <c r="A23" s="40">
        <v>46210.68989228009</v>
      </c>
      <c r="B23" s="41">
        <v>46210.0</v>
      </c>
      <c r="C23" s="42" t="s">
        <v>22</v>
      </c>
      <c r="D23" s="42" t="s">
        <v>29</v>
      </c>
      <c r="E23" s="42" t="s">
        <v>139</v>
      </c>
      <c r="F23" s="42" t="s">
        <v>140</v>
      </c>
      <c r="G23" s="43" t="s">
        <v>168</v>
      </c>
      <c r="H23" s="42">
        <v>28.0</v>
      </c>
      <c r="J23" s="42">
        <v>1.0</v>
      </c>
      <c r="K23" s="42">
        <v>2.0</v>
      </c>
      <c r="L23" s="43" t="s">
        <v>169</v>
      </c>
      <c r="M23" s="44" t="s">
        <v>170</v>
      </c>
      <c r="N23" s="42" t="s">
        <v>171</v>
      </c>
      <c r="O23" s="43" t="s">
        <v>172</v>
      </c>
      <c r="P23" s="42">
        <v>4.0</v>
      </c>
      <c r="T23" s="47"/>
    </row>
    <row r="24" ht="22.5" customHeight="1">
      <c r="A24" s="40">
        <v>46205.76241340278</v>
      </c>
      <c r="B24" s="41">
        <v>46205.0</v>
      </c>
      <c r="C24" s="42" t="s">
        <v>19</v>
      </c>
      <c r="D24" s="42" t="s">
        <v>18</v>
      </c>
      <c r="E24" s="42" t="s">
        <v>173</v>
      </c>
      <c r="F24" s="42" t="s">
        <v>18</v>
      </c>
      <c r="G24" s="43" t="s">
        <v>174</v>
      </c>
      <c r="H24" s="42">
        <v>20.0</v>
      </c>
      <c r="J24" s="42">
        <v>0.0</v>
      </c>
      <c r="K24" s="42">
        <v>0.0</v>
      </c>
      <c r="L24" s="43" t="s">
        <v>175</v>
      </c>
      <c r="M24" s="42">
        <v>0.0</v>
      </c>
      <c r="N24" s="42">
        <v>0.0</v>
      </c>
      <c r="O24" s="43" t="s">
        <v>176</v>
      </c>
      <c r="P24" s="42">
        <v>7.0</v>
      </c>
      <c r="Q24" s="45"/>
      <c r="R24" s="45"/>
      <c r="S24" s="46"/>
      <c r="T24" s="46"/>
    </row>
    <row r="25" ht="22.5" customHeight="1">
      <c r="A25" s="40">
        <v>46206.87466952547</v>
      </c>
      <c r="B25" s="41">
        <v>46206.0</v>
      </c>
      <c r="C25" s="42" t="s">
        <v>19</v>
      </c>
      <c r="D25" s="42" t="s">
        <v>18</v>
      </c>
      <c r="E25" s="42" t="s">
        <v>173</v>
      </c>
      <c r="F25" s="42" t="s">
        <v>177</v>
      </c>
      <c r="G25" s="43" t="s">
        <v>178</v>
      </c>
      <c r="H25" s="42">
        <v>21.0</v>
      </c>
      <c r="J25" s="42">
        <v>1.0</v>
      </c>
      <c r="K25" s="42">
        <v>0.0</v>
      </c>
      <c r="L25" s="43" t="s">
        <v>179</v>
      </c>
      <c r="M25" s="44" t="s">
        <v>180</v>
      </c>
      <c r="N25" s="42">
        <v>0.0</v>
      </c>
      <c r="O25" s="43" t="s">
        <v>181</v>
      </c>
      <c r="P25" s="42">
        <v>14.0</v>
      </c>
      <c r="Q25" s="45"/>
      <c r="R25" s="45"/>
      <c r="S25" s="46"/>
      <c r="T25" s="46"/>
    </row>
    <row r="26" ht="22.5" customHeight="1">
      <c r="A26" s="40">
        <v>46209.379292384256</v>
      </c>
      <c r="B26" s="41">
        <v>46207.0</v>
      </c>
      <c r="C26" s="42" t="s">
        <v>19</v>
      </c>
      <c r="D26" s="42" t="s">
        <v>18</v>
      </c>
      <c r="E26" s="42" t="s">
        <v>173</v>
      </c>
      <c r="F26" s="42" t="s">
        <v>182</v>
      </c>
      <c r="G26" s="43" t="s">
        <v>183</v>
      </c>
      <c r="H26" s="42">
        <v>30.0</v>
      </c>
      <c r="J26" s="42">
        <v>2.0</v>
      </c>
      <c r="K26" s="42">
        <v>10.0</v>
      </c>
      <c r="L26" s="43" t="s">
        <v>184</v>
      </c>
      <c r="M26" s="42" t="s">
        <v>185</v>
      </c>
      <c r="N26" s="42" t="s">
        <v>186</v>
      </c>
      <c r="O26" s="43" t="s">
        <v>187</v>
      </c>
      <c r="P26" s="42">
        <v>20.0</v>
      </c>
      <c r="Q26" s="45"/>
      <c r="R26" s="45"/>
      <c r="S26" s="46"/>
      <c r="T26" s="46"/>
    </row>
    <row r="27" ht="22.5" customHeight="1">
      <c r="A27" s="40">
        <v>46209.89251369213</v>
      </c>
      <c r="B27" s="41">
        <v>46209.0</v>
      </c>
      <c r="C27" s="42" t="s">
        <v>19</v>
      </c>
      <c r="D27" s="42" t="s">
        <v>18</v>
      </c>
      <c r="E27" s="42" t="s">
        <v>173</v>
      </c>
      <c r="F27" s="42" t="s">
        <v>177</v>
      </c>
      <c r="G27" s="43" t="s">
        <v>188</v>
      </c>
      <c r="H27" s="42">
        <v>26.0</v>
      </c>
      <c r="J27" s="42">
        <v>1.0</v>
      </c>
      <c r="K27" s="42">
        <v>8.0</v>
      </c>
      <c r="L27" s="43" t="s">
        <v>189</v>
      </c>
      <c r="M27" s="44" t="s">
        <v>190</v>
      </c>
      <c r="N27" s="42" t="s">
        <v>191</v>
      </c>
      <c r="O27" s="43" t="s">
        <v>192</v>
      </c>
      <c r="P27" s="42">
        <v>13.0</v>
      </c>
      <c r="Q27" s="45"/>
      <c r="R27" s="45"/>
      <c r="T27" s="47"/>
    </row>
    <row r="28" ht="22.5" customHeight="1">
      <c r="A28" s="40">
        <v>46210.777848425925</v>
      </c>
      <c r="B28" s="41">
        <v>46210.0</v>
      </c>
      <c r="C28" s="42" t="s">
        <v>19</v>
      </c>
      <c r="D28" s="42" t="s">
        <v>18</v>
      </c>
      <c r="E28" s="42" t="s">
        <v>193</v>
      </c>
      <c r="F28" s="42" t="s">
        <v>177</v>
      </c>
      <c r="G28" s="43" t="s">
        <v>194</v>
      </c>
      <c r="H28" s="42">
        <v>29.0</v>
      </c>
      <c r="J28" s="42">
        <v>3.0</v>
      </c>
      <c r="K28" s="42">
        <v>5.0</v>
      </c>
      <c r="L28" s="43" t="s">
        <v>195</v>
      </c>
      <c r="M28" s="42" t="s">
        <v>196</v>
      </c>
      <c r="N28" s="42" t="s">
        <v>197</v>
      </c>
      <c r="O28" s="43" t="s">
        <v>198</v>
      </c>
      <c r="P28" s="42">
        <v>14.0</v>
      </c>
      <c r="T28" s="47"/>
    </row>
    <row r="29" ht="22.5" customHeight="1">
      <c r="A29" s="40">
        <v>46202.83467635416</v>
      </c>
      <c r="B29" s="41">
        <v>46202.0</v>
      </c>
      <c r="C29" s="42" t="s">
        <v>22</v>
      </c>
      <c r="D29" s="42" t="s">
        <v>31</v>
      </c>
      <c r="E29" s="42" t="s">
        <v>199</v>
      </c>
      <c r="F29" s="42" t="s">
        <v>200</v>
      </c>
      <c r="G29" s="43" t="s">
        <v>201</v>
      </c>
      <c r="H29" s="42">
        <v>11.0</v>
      </c>
      <c r="J29" s="42">
        <v>3.0</v>
      </c>
      <c r="K29" s="42">
        <v>0.0</v>
      </c>
      <c r="L29" s="43" t="s">
        <v>202</v>
      </c>
      <c r="M29" s="48" t="s">
        <v>203</v>
      </c>
      <c r="N29" s="48">
        <v>0.0</v>
      </c>
      <c r="O29" s="43" t="s">
        <v>204</v>
      </c>
      <c r="P29" s="42">
        <v>3.0</v>
      </c>
      <c r="Q29" s="45"/>
      <c r="R29" s="45"/>
      <c r="S29" s="46"/>
      <c r="T29" s="46"/>
    </row>
    <row r="30" ht="22.5" customHeight="1">
      <c r="A30" s="40">
        <v>46203.78290127315</v>
      </c>
      <c r="B30" s="41">
        <v>46203.0</v>
      </c>
      <c r="C30" s="42" t="s">
        <v>22</v>
      </c>
      <c r="D30" s="42" t="s">
        <v>31</v>
      </c>
      <c r="E30" s="42" t="s">
        <v>199</v>
      </c>
      <c r="F30" s="42" t="s">
        <v>200</v>
      </c>
      <c r="G30" s="43" t="s">
        <v>205</v>
      </c>
      <c r="H30" s="42">
        <v>27.0</v>
      </c>
      <c r="J30" s="42">
        <v>0.0</v>
      </c>
      <c r="K30" s="42">
        <v>0.0</v>
      </c>
      <c r="L30" s="43" t="s">
        <v>206</v>
      </c>
      <c r="M30" s="48">
        <v>0.0</v>
      </c>
      <c r="N30" s="48">
        <v>0.0</v>
      </c>
      <c r="O30" s="43" t="s">
        <v>207</v>
      </c>
      <c r="P30" s="42">
        <v>0.0</v>
      </c>
      <c r="Q30" s="45"/>
      <c r="R30" s="45"/>
      <c r="S30" s="46"/>
      <c r="T30" s="46"/>
    </row>
    <row r="31" ht="22.5" customHeight="1">
      <c r="A31" s="40">
        <v>46204.796017939814</v>
      </c>
      <c r="B31" s="41">
        <v>46204.0</v>
      </c>
      <c r="C31" s="42" t="s">
        <v>22</v>
      </c>
      <c r="D31" s="42" t="s">
        <v>31</v>
      </c>
      <c r="E31" s="42" t="s">
        <v>199</v>
      </c>
      <c r="F31" s="42" t="s">
        <v>208</v>
      </c>
      <c r="G31" s="43" t="s">
        <v>209</v>
      </c>
      <c r="H31" s="42" t="s">
        <v>210</v>
      </c>
      <c r="J31" s="42">
        <v>0.0</v>
      </c>
      <c r="K31" s="42" t="s">
        <v>211</v>
      </c>
      <c r="L31" s="43" t="s">
        <v>212</v>
      </c>
      <c r="M31" s="42">
        <v>0.0</v>
      </c>
      <c r="N31" s="44" t="s">
        <v>213</v>
      </c>
      <c r="O31" s="43" t="s">
        <v>214</v>
      </c>
      <c r="P31" s="42">
        <v>7.0</v>
      </c>
      <c r="Q31" s="45"/>
      <c r="R31" s="45"/>
      <c r="S31" s="46"/>
      <c r="T31" s="46"/>
    </row>
    <row r="32" ht="22.5" customHeight="1">
      <c r="A32" s="40">
        <v>46205.81956802083</v>
      </c>
      <c r="B32" s="41">
        <v>46205.0</v>
      </c>
      <c r="C32" s="42" t="s">
        <v>22</v>
      </c>
      <c r="D32" s="42" t="s">
        <v>31</v>
      </c>
      <c r="E32" s="42" t="s">
        <v>199</v>
      </c>
      <c r="F32" s="42" t="s">
        <v>200</v>
      </c>
      <c r="G32" s="43" t="s">
        <v>215</v>
      </c>
      <c r="H32" s="42">
        <v>44.0</v>
      </c>
      <c r="J32" s="42" t="s">
        <v>216</v>
      </c>
      <c r="K32" s="42" t="s">
        <v>217</v>
      </c>
      <c r="L32" s="43" t="s">
        <v>218</v>
      </c>
      <c r="M32" s="42" t="s">
        <v>216</v>
      </c>
      <c r="N32" s="42" t="s">
        <v>219</v>
      </c>
      <c r="O32" s="43" t="s">
        <v>220</v>
      </c>
      <c r="P32" s="42">
        <v>7.0</v>
      </c>
      <c r="Q32" s="45"/>
      <c r="R32" s="45"/>
      <c r="S32" s="46"/>
      <c r="T32" s="46"/>
    </row>
    <row r="33" ht="22.5" customHeight="1">
      <c r="A33" s="40">
        <v>46206.81946399306</v>
      </c>
      <c r="B33" s="41">
        <v>46206.0</v>
      </c>
      <c r="C33" s="42" t="s">
        <v>22</v>
      </c>
      <c r="D33" s="42" t="s">
        <v>31</v>
      </c>
      <c r="E33" s="42" t="s">
        <v>199</v>
      </c>
      <c r="F33" s="42" t="s">
        <v>221</v>
      </c>
      <c r="G33" s="43" t="s">
        <v>222</v>
      </c>
      <c r="H33" s="42">
        <v>20.0</v>
      </c>
      <c r="J33" s="42">
        <v>2.0</v>
      </c>
      <c r="K33" s="42" t="s">
        <v>223</v>
      </c>
      <c r="L33" s="43" t="s">
        <v>224</v>
      </c>
      <c r="M33" s="42" t="s">
        <v>225</v>
      </c>
      <c r="N33" s="42" t="s">
        <v>216</v>
      </c>
      <c r="O33" s="43" t="s">
        <v>226</v>
      </c>
      <c r="P33" s="42">
        <v>6.0</v>
      </c>
      <c r="Q33" s="45"/>
      <c r="R33" s="45"/>
      <c r="S33" s="46"/>
      <c r="T33" s="46"/>
    </row>
    <row r="34" ht="22.5" customHeight="1">
      <c r="A34" s="40">
        <v>46210.69664030093</v>
      </c>
      <c r="B34" s="41">
        <v>46208.0</v>
      </c>
      <c r="C34" s="42" t="s">
        <v>22</v>
      </c>
      <c r="D34" s="42" t="s">
        <v>31</v>
      </c>
      <c r="E34" s="42" t="s">
        <v>199</v>
      </c>
      <c r="F34" s="42" t="s">
        <v>208</v>
      </c>
      <c r="G34" s="43" t="s">
        <v>227</v>
      </c>
      <c r="H34" s="42">
        <v>21.0</v>
      </c>
      <c r="J34" s="42">
        <v>3.0</v>
      </c>
      <c r="K34" s="42" t="s">
        <v>228</v>
      </c>
      <c r="L34" s="43" t="s">
        <v>229</v>
      </c>
      <c r="M34" s="42" t="s">
        <v>230</v>
      </c>
      <c r="N34" s="44" t="s">
        <v>231</v>
      </c>
      <c r="O34" s="43" t="s">
        <v>232</v>
      </c>
      <c r="P34" s="42">
        <v>8.0</v>
      </c>
      <c r="T34" s="47"/>
    </row>
    <row r="35" ht="69.75" customHeight="1">
      <c r="A35" s="40">
        <v>46210.698813553245</v>
      </c>
      <c r="B35" s="41">
        <v>46209.0</v>
      </c>
      <c r="C35" s="42" t="s">
        <v>22</v>
      </c>
      <c r="D35" s="42" t="s">
        <v>31</v>
      </c>
      <c r="E35" s="42" t="s">
        <v>199</v>
      </c>
      <c r="F35" s="42" t="s">
        <v>221</v>
      </c>
      <c r="G35" s="43" t="s">
        <v>233</v>
      </c>
      <c r="H35" s="42">
        <v>34.0</v>
      </c>
      <c r="J35" s="42">
        <v>2.0</v>
      </c>
      <c r="K35" s="42" t="s">
        <v>223</v>
      </c>
      <c r="L35" s="43" t="s">
        <v>234</v>
      </c>
      <c r="M35" s="42" t="s">
        <v>235</v>
      </c>
      <c r="N35" s="42" t="s">
        <v>236</v>
      </c>
      <c r="O35" s="43" t="s">
        <v>237</v>
      </c>
      <c r="P35" s="42">
        <v>9.0</v>
      </c>
      <c r="T35" s="47"/>
    </row>
    <row r="36" ht="22.5" customHeight="1">
      <c r="A36" s="40">
        <v>46210.70106207176</v>
      </c>
      <c r="B36" s="41">
        <v>46210.0</v>
      </c>
      <c r="C36" s="42" t="s">
        <v>22</v>
      </c>
      <c r="D36" s="42" t="s">
        <v>31</v>
      </c>
      <c r="E36" s="42" t="s">
        <v>199</v>
      </c>
      <c r="F36" s="42" t="s">
        <v>221</v>
      </c>
      <c r="G36" s="43" t="s">
        <v>238</v>
      </c>
      <c r="H36" s="42">
        <v>22.0</v>
      </c>
      <c r="J36" s="42">
        <v>1.0</v>
      </c>
      <c r="K36" s="42" t="s">
        <v>239</v>
      </c>
      <c r="L36" s="43" t="s">
        <v>240</v>
      </c>
      <c r="M36" s="44" t="s">
        <v>241</v>
      </c>
      <c r="N36" s="42" t="s">
        <v>216</v>
      </c>
      <c r="O36" s="43" t="s">
        <v>242</v>
      </c>
      <c r="P36" s="42">
        <v>5.0</v>
      </c>
      <c r="T36" s="47"/>
    </row>
    <row r="37" ht="22.5" customHeight="1">
      <c r="A37" s="40">
        <v>46204.92512417824</v>
      </c>
      <c r="B37" s="41">
        <v>46204.0</v>
      </c>
      <c r="C37" s="42" t="s">
        <v>22</v>
      </c>
      <c r="D37" s="42" t="s">
        <v>26</v>
      </c>
      <c r="E37" s="42" t="s">
        <v>243</v>
      </c>
      <c r="F37" s="42" t="s">
        <v>244</v>
      </c>
      <c r="G37" s="43" t="s">
        <v>245</v>
      </c>
      <c r="H37" s="42">
        <v>6.0</v>
      </c>
      <c r="J37" s="42">
        <v>0.0</v>
      </c>
      <c r="K37" s="42">
        <v>1.0</v>
      </c>
      <c r="L37" s="43" t="s">
        <v>246</v>
      </c>
      <c r="M37" s="44" t="s">
        <v>247</v>
      </c>
      <c r="N37" s="44" t="s">
        <v>247</v>
      </c>
      <c r="O37" s="43" t="s">
        <v>248</v>
      </c>
      <c r="P37" s="42">
        <v>2.0</v>
      </c>
      <c r="Q37" s="45"/>
      <c r="R37" s="45"/>
      <c r="S37" s="46"/>
      <c r="T37" s="46"/>
    </row>
    <row r="38" ht="22.5" customHeight="1">
      <c r="A38" s="40">
        <v>46205.85097871527</v>
      </c>
      <c r="B38" s="41">
        <v>46205.0</v>
      </c>
      <c r="C38" s="42" t="s">
        <v>22</v>
      </c>
      <c r="D38" s="42" t="s">
        <v>26</v>
      </c>
      <c r="E38" s="42" t="s">
        <v>249</v>
      </c>
      <c r="F38" s="42" t="s">
        <v>244</v>
      </c>
      <c r="G38" s="43" t="s">
        <v>250</v>
      </c>
      <c r="H38" s="42">
        <v>9.0</v>
      </c>
      <c r="J38" s="42">
        <v>0.0</v>
      </c>
      <c r="K38" s="42">
        <v>1.0</v>
      </c>
      <c r="L38" s="43" t="s">
        <v>251</v>
      </c>
      <c r="M38" s="42">
        <v>0.0</v>
      </c>
      <c r="N38" s="44" t="s">
        <v>252</v>
      </c>
      <c r="O38" s="43" t="s">
        <v>253</v>
      </c>
      <c r="P38" s="42">
        <v>4.0</v>
      </c>
      <c r="Q38" s="45"/>
      <c r="R38" s="45"/>
      <c r="S38" s="46"/>
      <c r="T38" s="46"/>
    </row>
    <row r="39" ht="22.5" customHeight="1">
      <c r="A39" s="40">
        <v>46206.93834828703</v>
      </c>
      <c r="B39" s="41">
        <v>46206.0</v>
      </c>
      <c r="C39" s="42" t="s">
        <v>22</v>
      </c>
      <c r="D39" s="42" t="s">
        <v>26</v>
      </c>
      <c r="E39" s="42" t="s">
        <v>243</v>
      </c>
      <c r="F39" s="42" t="s">
        <v>244</v>
      </c>
      <c r="G39" s="43" t="s">
        <v>254</v>
      </c>
      <c r="H39" s="42">
        <v>9.0</v>
      </c>
      <c r="J39" s="42">
        <v>2.0</v>
      </c>
      <c r="K39" s="42">
        <v>6.0</v>
      </c>
      <c r="L39" s="43" t="s">
        <v>255</v>
      </c>
      <c r="M39" s="42" t="s">
        <v>256</v>
      </c>
      <c r="N39" s="42" t="s">
        <v>257</v>
      </c>
      <c r="O39" s="43" t="s">
        <v>258</v>
      </c>
      <c r="P39" s="42">
        <v>3.0</v>
      </c>
      <c r="Q39" s="45"/>
      <c r="R39" s="45"/>
      <c r="S39" s="46"/>
      <c r="T39" s="46"/>
    </row>
    <row r="40" ht="22.5" customHeight="1">
      <c r="A40" s="40">
        <v>46209.54095258102</v>
      </c>
      <c r="B40" s="41">
        <v>46207.0</v>
      </c>
      <c r="C40" s="42" t="s">
        <v>22</v>
      </c>
      <c r="D40" s="42" t="s">
        <v>26</v>
      </c>
      <c r="E40" s="42" t="s">
        <v>243</v>
      </c>
      <c r="F40" s="42" t="s">
        <v>244</v>
      </c>
      <c r="G40" s="43" t="s">
        <v>259</v>
      </c>
      <c r="H40" s="42">
        <v>9.0</v>
      </c>
      <c r="J40" s="42">
        <v>2.0</v>
      </c>
      <c r="K40" s="42">
        <v>4.0</v>
      </c>
      <c r="L40" s="43" t="s">
        <v>260</v>
      </c>
      <c r="M40" s="44" t="s">
        <v>261</v>
      </c>
      <c r="N40" s="42" t="s">
        <v>262</v>
      </c>
      <c r="O40" s="43" t="s">
        <v>263</v>
      </c>
      <c r="P40" s="42">
        <v>2.0</v>
      </c>
      <c r="Q40" s="45"/>
      <c r="R40" s="45"/>
      <c r="S40" s="46"/>
      <c r="T40" s="46"/>
    </row>
    <row r="41" ht="22.5" customHeight="1">
      <c r="A41" s="40">
        <v>46209.63161784722</v>
      </c>
      <c r="B41" s="41">
        <v>46208.0</v>
      </c>
      <c r="C41" s="42" t="s">
        <v>22</v>
      </c>
      <c r="D41" s="42" t="s">
        <v>26</v>
      </c>
      <c r="E41" s="42" t="s">
        <v>243</v>
      </c>
      <c r="F41" s="42" t="s">
        <v>244</v>
      </c>
      <c r="G41" s="43" t="s">
        <v>264</v>
      </c>
      <c r="H41" s="42">
        <v>8.0</v>
      </c>
      <c r="J41" s="42">
        <v>4.0</v>
      </c>
      <c r="K41" s="42">
        <v>1.0</v>
      </c>
      <c r="L41" s="43" t="s">
        <v>265</v>
      </c>
      <c r="M41" s="42" t="s">
        <v>266</v>
      </c>
      <c r="N41" s="44" t="s">
        <v>267</v>
      </c>
      <c r="O41" s="43" t="s">
        <v>268</v>
      </c>
      <c r="P41" s="42">
        <v>1.0</v>
      </c>
      <c r="Q41" s="45"/>
      <c r="R41" s="45"/>
      <c r="S41" s="46"/>
      <c r="T41" s="46"/>
    </row>
    <row r="42" ht="22.5" customHeight="1">
      <c r="A42" s="40">
        <v>46209.95422462963</v>
      </c>
      <c r="B42" s="41">
        <v>46209.0</v>
      </c>
      <c r="C42" s="42" t="s">
        <v>22</v>
      </c>
      <c r="D42" s="42" t="s">
        <v>26</v>
      </c>
      <c r="E42" s="42" t="s">
        <v>243</v>
      </c>
      <c r="F42" s="42" t="s">
        <v>244</v>
      </c>
      <c r="G42" s="43" t="s">
        <v>269</v>
      </c>
      <c r="H42" s="42">
        <v>4.0</v>
      </c>
      <c r="J42" s="42">
        <v>2.0</v>
      </c>
      <c r="K42" s="42">
        <v>2.0</v>
      </c>
      <c r="L42" s="43" t="s">
        <v>270</v>
      </c>
      <c r="M42" s="42" t="s">
        <v>271</v>
      </c>
      <c r="N42" s="42" t="s">
        <v>272</v>
      </c>
      <c r="O42" s="43" t="s">
        <v>273</v>
      </c>
      <c r="P42" s="42">
        <v>4.0</v>
      </c>
      <c r="Q42" s="45"/>
      <c r="R42" s="45"/>
      <c r="T42" s="47"/>
    </row>
    <row r="43" ht="22.5" customHeight="1">
      <c r="A43" s="40">
        <v>46204.82521263889</v>
      </c>
      <c r="B43" s="41">
        <v>46204.0</v>
      </c>
      <c r="C43" s="42" t="s">
        <v>19</v>
      </c>
      <c r="D43" s="42" t="s">
        <v>10</v>
      </c>
      <c r="E43" s="42" t="s">
        <v>274</v>
      </c>
      <c r="F43" s="42" t="s">
        <v>275</v>
      </c>
      <c r="G43" s="43" t="s">
        <v>276</v>
      </c>
      <c r="H43" s="42">
        <v>15.0</v>
      </c>
      <c r="J43" s="42">
        <v>0.0</v>
      </c>
      <c r="K43" s="42">
        <v>0.0</v>
      </c>
      <c r="L43" s="43" t="s">
        <v>277</v>
      </c>
      <c r="M43" s="42">
        <v>0.0</v>
      </c>
      <c r="N43" s="42">
        <v>0.0</v>
      </c>
      <c r="O43" s="43" t="s">
        <v>278</v>
      </c>
      <c r="P43" s="42">
        <v>0.0</v>
      </c>
      <c r="Q43" s="45"/>
      <c r="R43" s="45"/>
      <c r="S43" s="46"/>
      <c r="T43" s="46"/>
    </row>
    <row r="44" ht="22.5" customHeight="1">
      <c r="A44" s="40">
        <v>46206.675230787034</v>
      </c>
      <c r="B44" s="41">
        <v>46206.0</v>
      </c>
      <c r="C44" s="42" t="s">
        <v>22</v>
      </c>
      <c r="D44" s="42" t="s">
        <v>31</v>
      </c>
      <c r="E44" s="42" t="s">
        <v>279</v>
      </c>
      <c r="F44" s="42" t="s">
        <v>280</v>
      </c>
      <c r="G44" s="43" t="s">
        <v>281</v>
      </c>
      <c r="H44" s="42">
        <v>20.0</v>
      </c>
      <c r="J44" s="42" t="s">
        <v>282</v>
      </c>
      <c r="K44" s="42" t="s">
        <v>216</v>
      </c>
      <c r="L44" s="43" t="s">
        <v>283</v>
      </c>
      <c r="M44" s="42" t="s">
        <v>216</v>
      </c>
      <c r="N44" s="42" t="s">
        <v>216</v>
      </c>
      <c r="O44" s="43" t="s">
        <v>284</v>
      </c>
      <c r="P44" s="42">
        <v>5.0</v>
      </c>
      <c r="Q44" s="45"/>
      <c r="R44" s="45"/>
      <c r="S44" s="46"/>
      <c r="T44" s="46"/>
    </row>
    <row r="45" ht="22.5" customHeight="1">
      <c r="A45" s="40">
        <v>46209.39496523148</v>
      </c>
      <c r="B45" s="41">
        <v>46207.0</v>
      </c>
      <c r="C45" s="42" t="s">
        <v>22</v>
      </c>
      <c r="D45" s="42" t="s">
        <v>31</v>
      </c>
      <c r="E45" s="42" t="s">
        <v>279</v>
      </c>
      <c r="F45" s="42" t="s">
        <v>280</v>
      </c>
      <c r="G45" s="43" t="s">
        <v>285</v>
      </c>
      <c r="H45" s="42">
        <v>30.0</v>
      </c>
      <c r="J45" s="42">
        <v>2.0</v>
      </c>
      <c r="K45" s="42" t="s">
        <v>216</v>
      </c>
      <c r="L45" s="43" t="s">
        <v>286</v>
      </c>
      <c r="M45" s="42" t="s">
        <v>287</v>
      </c>
      <c r="N45" s="42" t="s">
        <v>216</v>
      </c>
      <c r="O45" s="43" t="s">
        <v>288</v>
      </c>
      <c r="P45" s="42">
        <v>15.0</v>
      </c>
      <c r="Q45" s="45"/>
      <c r="R45" s="45"/>
      <c r="S45" s="46"/>
      <c r="T45" s="46"/>
    </row>
    <row r="46" ht="22.5" customHeight="1">
      <c r="A46" s="40">
        <v>46209.703574733794</v>
      </c>
      <c r="B46" s="41">
        <v>46209.0</v>
      </c>
      <c r="C46" s="42" t="s">
        <v>22</v>
      </c>
      <c r="D46" s="42" t="s">
        <v>31</v>
      </c>
      <c r="E46" s="42" t="s">
        <v>279</v>
      </c>
      <c r="F46" s="42" t="s">
        <v>280</v>
      </c>
      <c r="G46" s="43" t="s">
        <v>289</v>
      </c>
      <c r="H46" s="42">
        <v>25.0</v>
      </c>
      <c r="J46" s="42" t="s">
        <v>216</v>
      </c>
      <c r="K46" s="42" t="s">
        <v>216</v>
      </c>
      <c r="L46" s="43" t="s">
        <v>290</v>
      </c>
      <c r="M46" s="42" t="s">
        <v>216</v>
      </c>
      <c r="N46" s="42" t="s">
        <v>216</v>
      </c>
      <c r="O46" s="43" t="s">
        <v>291</v>
      </c>
      <c r="P46" s="42">
        <v>10.0</v>
      </c>
      <c r="Q46" s="45"/>
      <c r="R46" s="45"/>
      <c r="T46" s="47"/>
    </row>
    <row r="47" ht="22.5" customHeight="1">
      <c r="A47" s="40">
        <v>46210.65945652778</v>
      </c>
      <c r="B47" s="41">
        <v>46210.0</v>
      </c>
      <c r="C47" s="42" t="s">
        <v>22</v>
      </c>
      <c r="D47" s="42" t="s">
        <v>31</v>
      </c>
      <c r="E47" s="42" t="s">
        <v>279</v>
      </c>
      <c r="F47" s="42" t="s">
        <v>292</v>
      </c>
      <c r="G47" s="43" t="s">
        <v>293</v>
      </c>
      <c r="H47" s="42">
        <v>23.0</v>
      </c>
      <c r="J47" s="42" t="s">
        <v>216</v>
      </c>
      <c r="K47" s="42" t="s">
        <v>216</v>
      </c>
      <c r="L47" s="43" t="s">
        <v>294</v>
      </c>
      <c r="M47" s="42" t="s">
        <v>216</v>
      </c>
      <c r="N47" s="42" t="s">
        <v>216</v>
      </c>
      <c r="O47" s="43" t="s">
        <v>295</v>
      </c>
      <c r="P47" s="42">
        <v>5.0</v>
      </c>
      <c r="T47" s="47"/>
    </row>
    <row r="48" ht="22.5" customHeight="1">
      <c r="A48" s="40">
        <v>46205.39314431713</v>
      </c>
      <c r="B48" s="41">
        <v>46204.0</v>
      </c>
      <c r="C48" s="42" t="s">
        <v>19</v>
      </c>
      <c r="D48" s="42" t="s">
        <v>15</v>
      </c>
      <c r="E48" s="42" t="s">
        <v>296</v>
      </c>
      <c r="F48" s="42" t="s">
        <v>216</v>
      </c>
      <c r="G48" s="43" t="s">
        <v>297</v>
      </c>
      <c r="H48" s="42">
        <v>10.0</v>
      </c>
      <c r="J48" s="42">
        <v>2.0</v>
      </c>
      <c r="K48" s="42">
        <v>0.0</v>
      </c>
      <c r="L48" s="43" t="s">
        <v>298</v>
      </c>
      <c r="M48" s="50">
        <v>8.95703212129089E24</v>
      </c>
      <c r="N48" s="42">
        <v>0.0</v>
      </c>
      <c r="O48" s="43" t="s">
        <v>299</v>
      </c>
      <c r="P48" s="42">
        <v>10.0</v>
      </c>
      <c r="Q48" s="45"/>
      <c r="R48" s="45"/>
      <c r="S48" s="46"/>
      <c r="T48" s="46"/>
    </row>
    <row r="49" ht="22.5" customHeight="1">
      <c r="A49" s="40">
        <v>46206.85452763889</v>
      </c>
      <c r="B49" s="41">
        <v>46206.0</v>
      </c>
      <c r="C49" s="42" t="s">
        <v>22</v>
      </c>
      <c r="D49" s="42" t="s">
        <v>26</v>
      </c>
      <c r="E49" s="42" t="s">
        <v>300</v>
      </c>
      <c r="F49" s="42" t="s">
        <v>301</v>
      </c>
      <c r="G49" s="43" t="s">
        <v>302</v>
      </c>
      <c r="H49" s="42">
        <v>20.0</v>
      </c>
      <c r="J49" s="42">
        <v>3.0</v>
      </c>
      <c r="K49" s="42">
        <v>10.0</v>
      </c>
      <c r="L49" s="43" t="s">
        <v>303</v>
      </c>
      <c r="M49" s="44" t="s">
        <v>304</v>
      </c>
      <c r="N49" s="44" t="s">
        <v>305</v>
      </c>
      <c r="O49" s="43" t="s">
        <v>306</v>
      </c>
      <c r="P49" s="42">
        <v>3.0</v>
      </c>
      <c r="Q49" s="45"/>
      <c r="R49" s="45"/>
      <c r="S49" s="46"/>
      <c r="T49" s="46"/>
    </row>
    <row r="50" ht="22.5" customHeight="1">
      <c r="A50" s="40">
        <v>46209.39901318287</v>
      </c>
      <c r="B50" s="41">
        <v>46207.0</v>
      </c>
      <c r="C50" s="42" t="s">
        <v>22</v>
      </c>
      <c r="D50" s="42" t="s">
        <v>26</v>
      </c>
      <c r="E50" s="42" t="s">
        <v>300</v>
      </c>
      <c r="F50" s="42" t="s">
        <v>307</v>
      </c>
      <c r="G50" s="43" t="s">
        <v>308</v>
      </c>
      <c r="H50" s="42">
        <v>10.0</v>
      </c>
      <c r="J50" s="42">
        <v>2.0</v>
      </c>
      <c r="K50" s="42">
        <v>6.0</v>
      </c>
      <c r="L50" s="43" t="s">
        <v>309</v>
      </c>
      <c r="M50" s="42" t="s">
        <v>310</v>
      </c>
      <c r="N50" s="42" t="s">
        <v>311</v>
      </c>
      <c r="O50" s="43" t="s">
        <v>312</v>
      </c>
      <c r="P50" s="42">
        <v>10.0</v>
      </c>
      <c r="Q50" s="45"/>
      <c r="R50" s="45"/>
      <c r="S50" s="46"/>
      <c r="T50" s="46"/>
    </row>
    <row r="51" ht="22.5" customHeight="1">
      <c r="A51" s="40">
        <v>46209.89869914352</v>
      </c>
      <c r="B51" s="41">
        <v>46209.0</v>
      </c>
      <c r="C51" s="42" t="s">
        <v>22</v>
      </c>
      <c r="D51" s="42" t="s">
        <v>26</v>
      </c>
      <c r="E51" s="42" t="s">
        <v>300</v>
      </c>
      <c r="F51" s="42" t="s">
        <v>301</v>
      </c>
      <c r="G51" s="43" t="s">
        <v>313</v>
      </c>
      <c r="H51" s="42">
        <v>10.0</v>
      </c>
      <c r="J51" s="42">
        <v>1.0</v>
      </c>
      <c r="K51" s="42">
        <v>3.0</v>
      </c>
      <c r="L51" s="43" t="s">
        <v>314</v>
      </c>
      <c r="M51" s="44" t="s">
        <v>315</v>
      </c>
      <c r="N51" s="44" t="s">
        <v>316</v>
      </c>
      <c r="O51" s="43" t="s">
        <v>317</v>
      </c>
      <c r="P51" s="42">
        <v>2.0</v>
      </c>
      <c r="Q51" s="45"/>
      <c r="R51" s="45"/>
      <c r="T51" s="47"/>
    </row>
    <row r="52" ht="22.5" customHeight="1">
      <c r="A52" s="40">
        <v>46210.92040743056</v>
      </c>
      <c r="B52" s="41">
        <v>46210.0</v>
      </c>
      <c r="C52" s="42" t="s">
        <v>22</v>
      </c>
      <c r="D52" s="42" t="s">
        <v>26</v>
      </c>
      <c r="E52" s="42" t="s">
        <v>300</v>
      </c>
      <c r="F52" s="42" t="s">
        <v>307</v>
      </c>
      <c r="G52" s="43" t="s">
        <v>318</v>
      </c>
      <c r="H52" s="42">
        <v>16.0</v>
      </c>
      <c r="J52" s="42">
        <v>1.0</v>
      </c>
      <c r="K52" s="42">
        <v>7.0</v>
      </c>
      <c r="L52" s="43" t="s">
        <v>319</v>
      </c>
      <c r="M52" s="44" t="s">
        <v>320</v>
      </c>
      <c r="N52" s="44" t="s">
        <v>321</v>
      </c>
      <c r="O52" s="43" t="s">
        <v>322</v>
      </c>
      <c r="P52" s="42">
        <v>16.0</v>
      </c>
      <c r="T52" s="47"/>
    </row>
    <row r="53" ht="22.5" customHeight="1">
      <c r="A53" s="40">
        <v>46204.91703163194</v>
      </c>
      <c r="B53" s="41">
        <v>46204.0</v>
      </c>
      <c r="C53" s="42" t="s">
        <v>22</v>
      </c>
      <c r="D53" s="42" t="s">
        <v>26</v>
      </c>
      <c r="E53" s="42" t="s">
        <v>323</v>
      </c>
      <c r="F53" s="42" t="s">
        <v>324</v>
      </c>
      <c r="G53" s="43" t="s">
        <v>325</v>
      </c>
      <c r="H53" s="42">
        <v>13.0</v>
      </c>
      <c r="J53" s="42">
        <v>2.0</v>
      </c>
      <c r="K53" s="42">
        <v>10.0</v>
      </c>
      <c r="L53" s="43" t="s">
        <v>326</v>
      </c>
      <c r="M53" s="42" t="s">
        <v>327</v>
      </c>
      <c r="N53" s="42" t="s">
        <v>328</v>
      </c>
      <c r="O53" s="43" t="s">
        <v>329</v>
      </c>
      <c r="P53" s="42">
        <v>4.0</v>
      </c>
      <c r="Q53" s="45"/>
      <c r="R53" s="45"/>
      <c r="S53" s="46"/>
      <c r="T53" s="46"/>
    </row>
    <row r="54" ht="22.5" customHeight="1">
      <c r="A54" s="40">
        <v>46205.68303726852</v>
      </c>
      <c r="B54" s="41">
        <v>46205.0</v>
      </c>
      <c r="C54" s="42" t="s">
        <v>22</v>
      </c>
      <c r="D54" s="42" t="s">
        <v>26</v>
      </c>
      <c r="E54" s="42" t="s">
        <v>323</v>
      </c>
      <c r="F54" s="42" t="s">
        <v>324</v>
      </c>
      <c r="G54" s="43" t="s">
        <v>330</v>
      </c>
      <c r="H54" s="42">
        <v>15.0</v>
      </c>
      <c r="J54" s="42">
        <v>2.0</v>
      </c>
      <c r="K54" s="42">
        <v>8.0</v>
      </c>
      <c r="L54" s="43" t="s">
        <v>331</v>
      </c>
      <c r="M54" s="42" t="s">
        <v>332</v>
      </c>
      <c r="N54" s="42" t="s">
        <v>333</v>
      </c>
      <c r="O54" s="43" t="s">
        <v>334</v>
      </c>
      <c r="P54" s="42">
        <v>7.0</v>
      </c>
      <c r="Q54" s="45"/>
      <c r="R54" s="45"/>
      <c r="S54" s="46"/>
      <c r="T54" s="46"/>
    </row>
    <row r="55" ht="22.5" customHeight="1">
      <c r="A55" s="40">
        <v>46206.68328107639</v>
      </c>
      <c r="B55" s="41">
        <v>46206.0</v>
      </c>
      <c r="C55" s="42" t="s">
        <v>22</v>
      </c>
      <c r="D55" s="42" t="s">
        <v>26</v>
      </c>
      <c r="E55" s="42" t="s">
        <v>323</v>
      </c>
      <c r="F55" s="42" t="s">
        <v>335</v>
      </c>
      <c r="G55" s="43" t="s">
        <v>336</v>
      </c>
      <c r="H55" s="42">
        <v>20.0</v>
      </c>
      <c r="J55" s="42">
        <v>1.0</v>
      </c>
      <c r="K55" s="42">
        <v>6.0</v>
      </c>
      <c r="L55" s="43" t="s">
        <v>337</v>
      </c>
      <c r="M55" s="44" t="s">
        <v>338</v>
      </c>
      <c r="N55" s="42" t="s">
        <v>339</v>
      </c>
      <c r="O55" s="43" t="s">
        <v>340</v>
      </c>
      <c r="P55" s="42">
        <v>5.0</v>
      </c>
      <c r="Q55" s="45"/>
      <c r="R55" s="45"/>
      <c r="S55" s="46"/>
      <c r="T55" s="46"/>
    </row>
    <row r="56" ht="22.5" customHeight="1">
      <c r="A56" s="40">
        <v>46210.872540428245</v>
      </c>
      <c r="B56" s="41">
        <v>46210.0</v>
      </c>
      <c r="C56" s="42" t="s">
        <v>22</v>
      </c>
      <c r="D56" s="42" t="s">
        <v>26</v>
      </c>
      <c r="E56" s="42" t="s">
        <v>323</v>
      </c>
      <c r="F56" s="42" t="s">
        <v>324</v>
      </c>
      <c r="G56" s="43" t="s">
        <v>341</v>
      </c>
      <c r="H56" s="42">
        <v>20.0</v>
      </c>
      <c r="J56" s="42">
        <v>7.0</v>
      </c>
      <c r="K56" s="42">
        <v>8.0</v>
      </c>
      <c r="L56" s="43" t="s">
        <v>342</v>
      </c>
      <c r="M56" s="42" t="s">
        <v>343</v>
      </c>
      <c r="N56" s="42" t="s">
        <v>344</v>
      </c>
      <c r="O56" s="43" t="s">
        <v>345</v>
      </c>
      <c r="P56" s="42">
        <v>20.0</v>
      </c>
      <c r="T56" s="47"/>
    </row>
    <row r="57" ht="22.5" customHeight="1">
      <c r="A57" s="40">
        <v>46202.75018988426</v>
      </c>
      <c r="B57" s="41">
        <v>46202.0</v>
      </c>
      <c r="C57" s="42" t="s">
        <v>19</v>
      </c>
      <c r="D57" s="42" t="s">
        <v>10</v>
      </c>
      <c r="E57" s="42" t="s">
        <v>346</v>
      </c>
      <c r="F57" s="42" t="s">
        <v>347</v>
      </c>
      <c r="G57" s="43" t="s">
        <v>348</v>
      </c>
      <c r="H57" s="42" t="s">
        <v>349</v>
      </c>
      <c r="J57" s="42">
        <v>1.0</v>
      </c>
      <c r="K57" s="42" t="s">
        <v>216</v>
      </c>
      <c r="L57" s="43" t="s">
        <v>350</v>
      </c>
      <c r="M57" s="49" t="s">
        <v>351</v>
      </c>
      <c r="N57" s="48" t="s">
        <v>216</v>
      </c>
      <c r="O57" s="43" t="s">
        <v>352</v>
      </c>
      <c r="P57" s="45"/>
      <c r="Q57" s="45"/>
      <c r="R57" s="45"/>
      <c r="S57" s="46"/>
      <c r="T57" s="46"/>
    </row>
    <row r="58" ht="22.5" customHeight="1">
      <c r="A58" s="40">
        <v>46203.74487741898</v>
      </c>
      <c r="B58" s="41">
        <v>46203.0</v>
      </c>
      <c r="C58" s="42" t="s">
        <v>19</v>
      </c>
      <c r="D58" s="42" t="s">
        <v>10</v>
      </c>
      <c r="E58" s="42" t="s">
        <v>346</v>
      </c>
      <c r="F58" s="42" t="s">
        <v>347</v>
      </c>
      <c r="G58" s="43" t="s">
        <v>353</v>
      </c>
      <c r="H58" s="42">
        <v>20.0</v>
      </c>
      <c r="J58" s="42">
        <v>1.0</v>
      </c>
      <c r="K58" s="42" t="s">
        <v>216</v>
      </c>
      <c r="L58" s="43" t="s">
        <v>354</v>
      </c>
      <c r="M58" s="49" t="s">
        <v>355</v>
      </c>
      <c r="N58" s="48" t="s">
        <v>216</v>
      </c>
      <c r="O58" s="43" t="s">
        <v>356</v>
      </c>
      <c r="P58" s="42">
        <v>0.0</v>
      </c>
      <c r="Q58" s="45"/>
      <c r="R58" s="45"/>
      <c r="S58" s="46"/>
      <c r="T58" s="46"/>
    </row>
    <row r="59" ht="22.5" customHeight="1">
      <c r="A59" s="40">
        <v>46204.794519560186</v>
      </c>
      <c r="B59" s="41">
        <v>46204.0</v>
      </c>
      <c r="C59" s="42" t="s">
        <v>19</v>
      </c>
      <c r="D59" s="42" t="s">
        <v>10</v>
      </c>
      <c r="E59" s="42" t="s">
        <v>346</v>
      </c>
      <c r="F59" s="42" t="s">
        <v>347</v>
      </c>
      <c r="G59" s="43" t="s">
        <v>357</v>
      </c>
      <c r="H59" s="42">
        <v>20.0</v>
      </c>
      <c r="J59" s="42" t="s">
        <v>216</v>
      </c>
      <c r="K59" s="42">
        <v>1.0</v>
      </c>
      <c r="L59" s="43" t="s">
        <v>358</v>
      </c>
      <c r="M59" s="42" t="s">
        <v>216</v>
      </c>
      <c r="N59" s="42" t="s">
        <v>216</v>
      </c>
      <c r="O59" s="43" t="s">
        <v>359</v>
      </c>
      <c r="P59" s="42">
        <v>2.0</v>
      </c>
      <c r="Q59" s="45"/>
      <c r="R59" s="45"/>
      <c r="S59" s="46"/>
      <c r="T59" s="46"/>
    </row>
    <row r="60" ht="22.5" customHeight="1">
      <c r="A60" s="40">
        <v>46205.79959196759</v>
      </c>
      <c r="B60" s="41">
        <v>46205.0</v>
      </c>
      <c r="C60" s="42" t="s">
        <v>19</v>
      </c>
      <c r="D60" s="42" t="s">
        <v>21</v>
      </c>
      <c r="E60" s="42" t="s">
        <v>346</v>
      </c>
      <c r="F60" s="42" t="s">
        <v>360</v>
      </c>
      <c r="G60" s="43" t="s">
        <v>361</v>
      </c>
      <c r="H60" s="42">
        <v>20.0</v>
      </c>
      <c r="J60" s="42" t="s">
        <v>216</v>
      </c>
      <c r="K60" s="42">
        <v>2.0</v>
      </c>
      <c r="L60" s="43" t="s">
        <v>362</v>
      </c>
      <c r="M60" s="42" t="s">
        <v>216</v>
      </c>
      <c r="N60" s="50">
        <v>8.58676858680812E22</v>
      </c>
      <c r="O60" s="43" t="s">
        <v>363</v>
      </c>
      <c r="P60" s="42">
        <v>3.0</v>
      </c>
      <c r="Q60" s="45"/>
      <c r="R60" s="45"/>
      <c r="S60" s="46"/>
      <c r="T60" s="46"/>
    </row>
    <row r="61" ht="22.5" customHeight="1">
      <c r="A61" s="40">
        <v>46209.372965092596</v>
      </c>
      <c r="B61" s="41">
        <v>46207.0</v>
      </c>
      <c r="C61" s="42" t="s">
        <v>19</v>
      </c>
      <c r="D61" s="42" t="s">
        <v>21</v>
      </c>
      <c r="E61" s="42" t="s">
        <v>346</v>
      </c>
      <c r="F61" s="42" t="s">
        <v>360</v>
      </c>
      <c r="G61" s="43" t="s">
        <v>364</v>
      </c>
      <c r="H61" s="42">
        <v>20.0</v>
      </c>
      <c r="J61" s="42" t="s">
        <v>216</v>
      </c>
      <c r="K61" s="42">
        <v>2.0</v>
      </c>
      <c r="L61" s="43" t="s">
        <v>365</v>
      </c>
      <c r="M61" s="42" t="s">
        <v>216</v>
      </c>
      <c r="N61" s="42" t="s">
        <v>366</v>
      </c>
      <c r="O61" s="43" t="s">
        <v>367</v>
      </c>
      <c r="P61" s="42">
        <v>2.0</v>
      </c>
      <c r="Q61" s="45"/>
      <c r="R61" s="45"/>
      <c r="S61" s="46"/>
      <c r="T61" s="46"/>
    </row>
    <row r="62" ht="22.5" customHeight="1">
      <c r="A62" s="40">
        <v>46209.817869108796</v>
      </c>
      <c r="B62" s="41">
        <v>46209.0</v>
      </c>
      <c r="C62" s="42" t="s">
        <v>19</v>
      </c>
      <c r="D62" s="42" t="s">
        <v>21</v>
      </c>
      <c r="E62" s="42" t="s">
        <v>346</v>
      </c>
      <c r="F62" s="42" t="s">
        <v>347</v>
      </c>
      <c r="G62" s="43" t="s">
        <v>368</v>
      </c>
      <c r="H62" s="42">
        <v>20.0</v>
      </c>
      <c r="J62" s="42">
        <v>1.0</v>
      </c>
      <c r="K62" s="42" t="s">
        <v>216</v>
      </c>
      <c r="L62" s="43" t="s">
        <v>369</v>
      </c>
      <c r="M62" s="44" t="s">
        <v>351</v>
      </c>
      <c r="N62" s="42" t="s">
        <v>370</v>
      </c>
      <c r="O62" s="43" t="s">
        <v>371</v>
      </c>
      <c r="P62" s="42">
        <v>2.0</v>
      </c>
      <c r="Q62" s="45"/>
      <c r="R62" s="45"/>
      <c r="T62" s="47"/>
    </row>
    <row r="63" ht="22.5" customHeight="1">
      <c r="A63" s="40">
        <v>46210.94387456018</v>
      </c>
      <c r="B63" s="41">
        <v>46210.0</v>
      </c>
      <c r="C63" s="42" t="s">
        <v>19</v>
      </c>
      <c r="D63" s="42" t="s">
        <v>21</v>
      </c>
      <c r="E63" s="42" t="s">
        <v>346</v>
      </c>
      <c r="F63" s="42" t="s">
        <v>347</v>
      </c>
      <c r="G63" s="43" t="s">
        <v>372</v>
      </c>
      <c r="H63" s="42">
        <v>21.0</v>
      </c>
      <c r="J63" s="42">
        <v>1.0</v>
      </c>
      <c r="K63" s="42" t="s">
        <v>216</v>
      </c>
      <c r="L63" s="43" t="s">
        <v>373</v>
      </c>
      <c r="M63" s="44" t="s">
        <v>374</v>
      </c>
      <c r="N63" s="42" t="s">
        <v>216</v>
      </c>
      <c r="O63" s="43" t="s">
        <v>375</v>
      </c>
      <c r="P63" s="42">
        <v>2.0</v>
      </c>
      <c r="T63" s="47"/>
    </row>
    <row r="64" ht="22.5" customHeight="1">
      <c r="A64" s="40">
        <v>46202.8955934838</v>
      </c>
      <c r="B64" s="41">
        <v>46202.0</v>
      </c>
      <c r="C64" s="42" t="s">
        <v>19</v>
      </c>
      <c r="D64" s="42" t="s">
        <v>15</v>
      </c>
      <c r="E64" s="42" t="s">
        <v>376</v>
      </c>
      <c r="F64" s="42" t="s">
        <v>377</v>
      </c>
      <c r="G64" s="43" t="s">
        <v>378</v>
      </c>
      <c r="H64" s="42">
        <v>20.0</v>
      </c>
      <c r="J64" s="42">
        <v>2.0</v>
      </c>
      <c r="K64" s="42">
        <v>3.0</v>
      </c>
      <c r="L64" s="43" t="s">
        <v>379</v>
      </c>
      <c r="M64" s="51">
        <v>8.95703212130089E24</v>
      </c>
      <c r="N64" s="48" t="s">
        <v>380</v>
      </c>
      <c r="O64" s="43" t="s">
        <v>381</v>
      </c>
      <c r="P64" s="42">
        <v>3.0</v>
      </c>
      <c r="Q64" s="45"/>
      <c r="R64" s="45"/>
      <c r="S64" s="46"/>
      <c r="T64" s="46"/>
    </row>
    <row r="65" ht="22.5" customHeight="1">
      <c r="A65" s="40">
        <v>46203.96195444444</v>
      </c>
      <c r="B65" s="41">
        <v>46203.0</v>
      </c>
      <c r="C65" s="42" t="s">
        <v>19</v>
      </c>
      <c r="D65" s="42" t="s">
        <v>15</v>
      </c>
      <c r="E65" s="42" t="s">
        <v>376</v>
      </c>
      <c r="F65" s="42" t="s">
        <v>216</v>
      </c>
      <c r="G65" s="43" t="s">
        <v>382</v>
      </c>
      <c r="H65" s="42">
        <v>18.0</v>
      </c>
      <c r="J65" s="42">
        <v>2.0</v>
      </c>
      <c r="K65" s="42">
        <v>3.0</v>
      </c>
      <c r="L65" s="43" t="s">
        <v>383</v>
      </c>
      <c r="M65" s="51">
        <v>8.95703212137089E24</v>
      </c>
      <c r="N65" s="51">
        <v>8.96819969450897E33</v>
      </c>
      <c r="O65" s="43" t="s">
        <v>384</v>
      </c>
      <c r="P65" s="42">
        <v>0.0</v>
      </c>
      <c r="Q65" s="45"/>
      <c r="R65" s="45"/>
      <c r="S65" s="46"/>
      <c r="T65" s="46"/>
    </row>
    <row r="66" ht="22.5" customHeight="1">
      <c r="A66" s="40">
        <v>46204.89358849537</v>
      </c>
      <c r="B66" s="41">
        <v>46204.0</v>
      </c>
      <c r="C66" s="42" t="s">
        <v>19</v>
      </c>
      <c r="D66" s="42" t="s">
        <v>15</v>
      </c>
      <c r="E66" s="42" t="s">
        <v>376</v>
      </c>
      <c r="F66" s="42" t="s">
        <v>385</v>
      </c>
      <c r="G66" s="43" t="s">
        <v>386</v>
      </c>
      <c r="H66" s="42">
        <v>20.0</v>
      </c>
      <c r="J66" s="42">
        <v>1.0</v>
      </c>
      <c r="K66" s="42">
        <v>3.0</v>
      </c>
      <c r="L66" s="43" t="s">
        <v>387</v>
      </c>
      <c r="M66" s="44" t="s">
        <v>388</v>
      </c>
      <c r="N66" s="50">
        <v>8.96626805010895E35</v>
      </c>
      <c r="O66" s="43" t="s">
        <v>389</v>
      </c>
      <c r="P66" s="42">
        <v>17.0</v>
      </c>
      <c r="Q66" s="45"/>
      <c r="R66" s="45"/>
      <c r="S66" s="46"/>
      <c r="T66" s="46"/>
    </row>
    <row r="67" ht="22.5" customHeight="1">
      <c r="A67" s="40">
        <v>46205.95425546296</v>
      </c>
      <c r="B67" s="41">
        <v>46205.0</v>
      </c>
      <c r="C67" s="42" t="s">
        <v>19</v>
      </c>
      <c r="D67" s="42" t="s">
        <v>15</v>
      </c>
      <c r="E67" s="42" t="s">
        <v>376</v>
      </c>
      <c r="F67" s="42" t="s">
        <v>377</v>
      </c>
      <c r="G67" s="43" t="s">
        <v>390</v>
      </c>
      <c r="H67" s="42">
        <v>21.0</v>
      </c>
      <c r="J67" s="42">
        <v>2.0</v>
      </c>
      <c r="K67" s="42">
        <v>2.0</v>
      </c>
      <c r="L67" s="43" t="s">
        <v>391</v>
      </c>
      <c r="M67" s="44" t="s">
        <v>392</v>
      </c>
      <c r="N67" s="42" t="s">
        <v>393</v>
      </c>
      <c r="O67" s="43" t="s">
        <v>394</v>
      </c>
      <c r="P67" s="42">
        <v>17.0</v>
      </c>
      <c r="Q67" s="45"/>
      <c r="R67" s="45"/>
      <c r="S67" s="46"/>
      <c r="T67" s="46"/>
    </row>
    <row r="68" ht="22.5" customHeight="1">
      <c r="A68" s="40">
        <v>46206.95477278935</v>
      </c>
      <c r="B68" s="41">
        <v>46206.0</v>
      </c>
      <c r="C68" s="42" t="s">
        <v>19</v>
      </c>
      <c r="D68" s="42" t="s">
        <v>15</v>
      </c>
      <c r="E68" s="42" t="s">
        <v>376</v>
      </c>
      <c r="F68" s="42" t="s">
        <v>377</v>
      </c>
      <c r="G68" s="43" t="s">
        <v>395</v>
      </c>
      <c r="H68" s="42">
        <v>14.0</v>
      </c>
      <c r="J68" s="42">
        <v>3.0</v>
      </c>
      <c r="K68" s="42">
        <v>10.0</v>
      </c>
      <c r="L68" s="43" t="s">
        <v>396</v>
      </c>
      <c r="M68" s="44" t="s">
        <v>397</v>
      </c>
      <c r="N68" s="42" t="s">
        <v>216</v>
      </c>
      <c r="O68" s="43" t="s">
        <v>398</v>
      </c>
      <c r="P68" s="42">
        <v>15.0</v>
      </c>
      <c r="Q68" s="45"/>
      <c r="R68" s="45"/>
      <c r="S68" s="46"/>
      <c r="T68" s="46"/>
    </row>
    <row r="69" ht="22.5" customHeight="1">
      <c r="A69" s="40">
        <v>46209.93203361111</v>
      </c>
      <c r="B69" s="41">
        <v>46209.0</v>
      </c>
      <c r="C69" s="42" t="s">
        <v>19</v>
      </c>
      <c r="D69" s="42" t="s">
        <v>15</v>
      </c>
      <c r="E69" s="42" t="s">
        <v>376</v>
      </c>
      <c r="F69" s="42" t="s">
        <v>377</v>
      </c>
      <c r="G69" s="43" t="s">
        <v>399</v>
      </c>
      <c r="H69" s="42">
        <v>22.0</v>
      </c>
      <c r="J69" s="42">
        <v>3.0</v>
      </c>
      <c r="K69" s="42">
        <v>20.0</v>
      </c>
      <c r="L69" s="43" t="s">
        <v>400</v>
      </c>
      <c r="M69" s="42" t="s">
        <v>401</v>
      </c>
      <c r="N69" s="42" t="s">
        <v>402</v>
      </c>
      <c r="O69" s="43" t="s">
        <v>403</v>
      </c>
      <c r="P69" s="42">
        <v>18.0</v>
      </c>
      <c r="Q69" s="45"/>
      <c r="R69" s="45"/>
      <c r="T69" s="47"/>
    </row>
    <row r="70" ht="22.5" customHeight="1">
      <c r="A70" s="40">
        <v>46209.3865454051</v>
      </c>
      <c r="B70" s="41">
        <v>46207.0</v>
      </c>
      <c r="C70" s="42" t="s">
        <v>19</v>
      </c>
      <c r="D70" s="42" t="s">
        <v>15</v>
      </c>
      <c r="E70" s="42" t="s">
        <v>376</v>
      </c>
      <c r="F70" s="42" t="s">
        <v>385</v>
      </c>
      <c r="G70" s="43" t="s">
        <v>404</v>
      </c>
      <c r="H70" s="42">
        <v>25.0</v>
      </c>
      <c r="J70" s="42">
        <v>2.0</v>
      </c>
      <c r="K70" s="42">
        <v>2.0</v>
      </c>
      <c r="L70" s="43" t="s">
        <v>405</v>
      </c>
      <c r="M70" s="50">
        <v>8.57268777540857E22</v>
      </c>
      <c r="N70" s="50">
        <v>8.56011430920895E24</v>
      </c>
      <c r="O70" s="43" t="s">
        <v>406</v>
      </c>
      <c r="P70" s="42">
        <v>15.0</v>
      </c>
      <c r="Q70" s="45"/>
      <c r="R70" s="45"/>
      <c r="S70" s="46"/>
      <c r="T70" s="46"/>
    </row>
    <row r="71" ht="22.5" customHeight="1">
      <c r="A71" s="40">
        <v>46210.92407033565</v>
      </c>
      <c r="B71" s="41">
        <v>46210.0</v>
      </c>
      <c r="C71" s="42" t="s">
        <v>19</v>
      </c>
      <c r="D71" s="42" t="s">
        <v>15</v>
      </c>
      <c r="E71" s="42" t="s">
        <v>376</v>
      </c>
      <c r="F71" s="42" t="s">
        <v>377</v>
      </c>
      <c r="G71" s="43" t="s">
        <v>407</v>
      </c>
      <c r="H71" s="42">
        <v>15.0</v>
      </c>
      <c r="J71" s="42">
        <v>1.0</v>
      </c>
      <c r="K71" s="42">
        <v>2.0</v>
      </c>
      <c r="L71" s="43" t="s">
        <v>408</v>
      </c>
      <c r="M71" s="44" t="s">
        <v>409</v>
      </c>
      <c r="N71" s="50">
        <v>8.95167758640895E23</v>
      </c>
      <c r="O71" s="43" t="s">
        <v>410</v>
      </c>
      <c r="P71" s="42">
        <v>12.0</v>
      </c>
      <c r="T71" s="47"/>
    </row>
    <row r="72" ht="22.5" customHeight="1">
      <c r="A72" s="40">
        <v>46197.68004453703</v>
      </c>
      <c r="B72" s="41">
        <v>46197.0</v>
      </c>
      <c r="C72" s="42" t="s">
        <v>22</v>
      </c>
      <c r="D72" s="42" t="s">
        <v>29</v>
      </c>
      <c r="E72" s="42" t="s">
        <v>411</v>
      </c>
      <c r="F72" s="42" t="s">
        <v>412</v>
      </c>
      <c r="G72" s="43" t="s">
        <v>413</v>
      </c>
      <c r="H72" s="42">
        <v>14.0</v>
      </c>
      <c r="J72" s="42">
        <v>1.0</v>
      </c>
      <c r="K72" s="42">
        <v>7.0</v>
      </c>
      <c r="L72" s="43" t="s">
        <v>414</v>
      </c>
      <c r="M72" s="49" t="s">
        <v>415</v>
      </c>
      <c r="N72" s="48" t="s">
        <v>416</v>
      </c>
      <c r="O72" s="43" t="s">
        <v>417</v>
      </c>
      <c r="P72" s="42">
        <v>6.0</v>
      </c>
      <c r="Q72" s="45"/>
      <c r="R72" s="45"/>
      <c r="S72" s="46"/>
      <c r="T72" s="46"/>
    </row>
    <row r="73" ht="22.5" customHeight="1">
      <c r="A73" s="40">
        <v>46198.745418101855</v>
      </c>
      <c r="B73" s="41">
        <v>46198.0</v>
      </c>
      <c r="C73" s="42" t="s">
        <v>22</v>
      </c>
      <c r="D73" s="42" t="s">
        <v>29</v>
      </c>
      <c r="E73" s="42" t="s">
        <v>411</v>
      </c>
      <c r="F73" s="42" t="s">
        <v>418</v>
      </c>
      <c r="G73" s="43" t="s">
        <v>419</v>
      </c>
      <c r="H73" s="42">
        <v>20.0</v>
      </c>
      <c r="J73" s="42">
        <v>7.0</v>
      </c>
      <c r="K73" s="42">
        <v>7.0</v>
      </c>
      <c r="L73" s="43" t="s">
        <v>420</v>
      </c>
      <c r="M73" s="48" t="s">
        <v>421</v>
      </c>
      <c r="N73" s="48" t="s">
        <v>422</v>
      </c>
      <c r="O73" s="43" t="s">
        <v>423</v>
      </c>
      <c r="P73" s="42">
        <v>12.0</v>
      </c>
      <c r="Q73" s="45"/>
      <c r="R73" s="45"/>
      <c r="S73" s="46"/>
      <c r="T73" s="46"/>
    </row>
    <row r="74" ht="22.5" customHeight="1">
      <c r="A74" s="40">
        <v>46199.79028152778</v>
      </c>
      <c r="B74" s="41">
        <v>46199.0</v>
      </c>
      <c r="C74" s="42" t="s">
        <v>22</v>
      </c>
      <c r="D74" s="42" t="s">
        <v>29</v>
      </c>
      <c r="E74" s="42" t="s">
        <v>411</v>
      </c>
      <c r="F74" s="42" t="s">
        <v>424</v>
      </c>
      <c r="G74" s="43" t="s">
        <v>425</v>
      </c>
      <c r="H74" s="42">
        <v>120.0</v>
      </c>
      <c r="J74" s="42">
        <v>10.0</v>
      </c>
      <c r="K74" s="42">
        <v>4.0</v>
      </c>
      <c r="L74" s="43" t="s">
        <v>426</v>
      </c>
      <c r="M74" s="48" t="s">
        <v>427</v>
      </c>
      <c r="N74" s="48" t="s">
        <v>428</v>
      </c>
      <c r="O74" s="43" t="s">
        <v>429</v>
      </c>
      <c r="P74" s="42">
        <v>13.0</v>
      </c>
      <c r="Q74" s="45"/>
      <c r="R74" s="45"/>
      <c r="S74" s="46"/>
      <c r="T74" s="46"/>
    </row>
    <row r="75" ht="22.5" customHeight="1">
      <c r="A75" s="40">
        <v>46200.84932354167</v>
      </c>
      <c r="B75" s="41">
        <v>46200.0</v>
      </c>
      <c r="C75" s="42" t="s">
        <v>22</v>
      </c>
      <c r="D75" s="42" t="s">
        <v>29</v>
      </c>
      <c r="E75" s="42" t="s">
        <v>411</v>
      </c>
      <c r="F75" s="42" t="s">
        <v>430</v>
      </c>
      <c r="G75" s="43" t="s">
        <v>431</v>
      </c>
      <c r="H75" s="42">
        <v>25.0</v>
      </c>
      <c r="J75" s="42">
        <v>10.0</v>
      </c>
      <c r="K75" s="42">
        <v>4.0</v>
      </c>
      <c r="L75" s="43" t="s">
        <v>432</v>
      </c>
      <c r="M75" s="48" t="s">
        <v>433</v>
      </c>
      <c r="N75" s="48" t="s">
        <v>434</v>
      </c>
      <c r="O75" s="43" t="s">
        <v>435</v>
      </c>
      <c r="P75" s="42">
        <v>15.0</v>
      </c>
      <c r="Q75" s="45"/>
      <c r="R75" s="45"/>
      <c r="S75" s="46"/>
      <c r="T75" s="46"/>
    </row>
    <row r="76" ht="22.5" customHeight="1">
      <c r="A76" s="40">
        <v>46202.85097918981</v>
      </c>
      <c r="B76" s="41">
        <v>46202.0</v>
      </c>
      <c r="C76" s="42" t="s">
        <v>22</v>
      </c>
      <c r="D76" s="42" t="s">
        <v>29</v>
      </c>
      <c r="E76" s="42" t="s">
        <v>411</v>
      </c>
      <c r="F76" s="42" t="s">
        <v>436</v>
      </c>
      <c r="G76" s="43" t="s">
        <v>437</v>
      </c>
      <c r="H76" s="42">
        <v>26.0</v>
      </c>
      <c r="J76" s="42">
        <v>10.0</v>
      </c>
      <c r="K76" s="42">
        <v>4.0</v>
      </c>
      <c r="L76" s="43" t="s">
        <v>438</v>
      </c>
      <c r="M76" s="48" t="s">
        <v>439</v>
      </c>
      <c r="N76" s="48" t="s">
        <v>440</v>
      </c>
      <c r="O76" s="43" t="s">
        <v>441</v>
      </c>
      <c r="P76" s="42">
        <v>14.0</v>
      </c>
      <c r="Q76" s="45"/>
      <c r="R76" s="45"/>
      <c r="S76" s="46"/>
      <c r="T76" s="46"/>
    </row>
    <row r="77" ht="22.5" customHeight="1">
      <c r="A77" s="40">
        <v>46203.841466770835</v>
      </c>
      <c r="B77" s="41">
        <v>46203.0</v>
      </c>
      <c r="C77" s="42" t="s">
        <v>22</v>
      </c>
      <c r="D77" s="42" t="s">
        <v>29</v>
      </c>
      <c r="E77" s="42" t="s">
        <v>411</v>
      </c>
      <c r="F77" s="42" t="s">
        <v>442</v>
      </c>
      <c r="G77" s="43" t="s">
        <v>443</v>
      </c>
      <c r="H77" s="42">
        <v>22.0</v>
      </c>
      <c r="J77" s="42">
        <v>10.0</v>
      </c>
      <c r="K77" s="42">
        <v>3.0</v>
      </c>
      <c r="L77" s="43" t="s">
        <v>444</v>
      </c>
      <c r="M77" s="48" t="s">
        <v>445</v>
      </c>
      <c r="N77" s="48" t="s">
        <v>446</v>
      </c>
      <c r="O77" s="43" t="s">
        <v>447</v>
      </c>
      <c r="P77" s="42">
        <v>13.0</v>
      </c>
      <c r="Q77" s="45"/>
      <c r="R77" s="45"/>
      <c r="S77" s="46"/>
      <c r="T77" s="46"/>
    </row>
    <row r="78" ht="22.5" customHeight="1">
      <c r="A78" s="40">
        <v>46196.7871299074</v>
      </c>
      <c r="B78" s="41">
        <v>46196.0</v>
      </c>
      <c r="C78" s="42" t="s">
        <v>22</v>
      </c>
      <c r="D78" s="42" t="s">
        <v>29</v>
      </c>
      <c r="E78" s="42" t="s">
        <v>411</v>
      </c>
      <c r="F78" s="42" t="s">
        <v>448</v>
      </c>
      <c r="G78" s="43" t="s">
        <v>449</v>
      </c>
      <c r="H78" s="42">
        <v>7.0</v>
      </c>
      <c r="J78" s="42">
        <v>0.0</v>
      </c>
      <c r="K78" s="42">
        <v>0.0</v>
      </c>
      <c r="M78" s="48">
        <v>0.0</v>
      </c>
      <c r="N78" s="48">
        <v>0.0</v>
      </c>
      <c r="O78" s="43" t="s">
        <v>450</v>
      </c>
      <c r="P78" s="42">
        <v>0.0</v>
      </c>
      <c r="Q78" s="45"/>
      <c r="R78" s="45"/>
      <c r="S78" s="46"/>
      <c r="T78" s="46"/>
    </row>
    <row r="79" ht="22.5" customHeight="1">
      <c r="A79" s="40">
        <v>46197.814639606484</v>
      </c>
      <c r="B79" s="41">
        <v>46197.0</v>
      </c>
      <c r="C79" s="42" t="s">
        <v>22</v>
      </c>
      <c r="D79" s="42" t="s">
        <v>26</v>
      </c>
      <c r="E79" s="42" t="s">
        <v>451</v>
      </c>
      <c r="F79" s="42" t="s">
        <v>452</v>
      </c>
      <c r="G79" s="43" t="s">
        <v>453</v>
      </c>
      <c r="H79" s="42">
        <v>6.0</v>
      </c>
      <c r="J79" s="42">
        <v>3.0</v>
      </c>
      <c r="K79" s="42">
        <v>4.0</v>
      </c>
      <c r="L79" s="43" t="s">
        <v>454</v>
      </c>
      <c r="M79" s="48" t="s">
        <v>455</v>
      </c>
      <c r="N79" s="48" t="s">
        <v>456</v>
      </c>
      <c r="O79" s="43" t="s">
        <v>457</v>
      </c>
      <c r="P79" s="42">
        <v>7.0</v>
      </c>
      <c r="Q79" s="45"/>
      <c r="R79" s="45"/>
      <c r="S79" s="46"/>
      <c r="T79" s="46"/>
    </row>
    <row r="80" ht="22.5" customHeight="1">
      <c r="A80" s="40">
        <v>46201.99593847222</v>
      </c>
      <c r="B80" s="41">
        <v>46201.0</v>
      </c>
      <c r="C80" s="42" t="s">
        <v>22</v>
      </c>
      <c r="D80" s="42" t="s">
        <v>26</v>
      </c>
      <c r="E80" s="42" t="s">
        <v>451</v>
      </c>
      <c r="F80" s="42" t="s">
        <v>458</v>
      </c>
      <c r="G80" s="43" t="s">
        <v>459</v>
      </c>
      <c r="H80" s="42">
        <v>10.0</v>
      </c>
      <c r="J80" s="42">
        <v>7.0</v>
      </c>
      <c r="K80" s="42">
        <v>2.0</v>
      </c>
      <c r="L80" s="43" t="s">
        <v>460</v>
      </c>
      <c r="M80" s="48" t="s">
        <v>461</v>
      </c>
      <c r="N80" s="48" t="s">
        <v>462</v>
      </c>
      <c r="O80" s="43" t="s">
        <v>463</v>
      </c>
      <c r="P80" s="42">
        <v>11.0</v>
      </c>
      <c r="Q80" s="45"/>
      <c r="R80" s="45"/>
      <c r="S80" s="46"/>
      <c r="T80" s="46"/>
    </row>
    <row r="81" ht="22.5" customHeight="1">
      <c r="A81" s="40">
        <v>46202.938132256946</v>
      </c>
      <c r="B81" s="41">
        <v>46202.0</v>
      </c>
      <c r="C81" s="42" t="s">
        <v>22</v>
      </c>
      <c r="D81" s="42" t="s">
        <v>26</v>
      </c>
      <c r="E81" s="42" t="s">
        <v>451</v>
      </c>
      <c r="F81" s="42" t="s">
        <v>452</v>
      </c>
      <c r="G81" s="43" t="s">
        <v>464</v>
      </c>
      <c r="H81" s="42">
        <v>5.0</v>
      </c>
      <c r="J81" s="42">
        <v>2.0</v>
      </c>
      <c r="K81" s="42">
        <v>2.0</v>
      </c>
      <c r="L81" s="43" t="s">
        <v>465</v>
      </c>
      <c r="M81" s="48" t="s">
        <v>466</v>
      </c>
      <c r="N81" s="48" t="s">
        <v>467</v>
      </c>
      <c r="O81" s="43" t="s">
        <v>468</v>
      </c>
      <c r="P81" s="42">
        <v>4.0</v>
      </c>
      <c r="Q81" s="45"/>
      <c r="R81" s="45"/>
      <c r="S81" s="46"/>
      <c r="T81" s="46"/>
    </row>
    <row r="82" ht="22.5" customHeight="1">
      <c r="A82" s="40">
        <v>46203.87278633102</v>
      </c>
      <c r="B82" s="41">
        <v>46203.0</v>
      </c>
      <c r="C82" s="42" t="s">
        <v>22</v>
      </c>
      <c r="D82" s="42" t="s">
        <v>26</v>
      </c>
      <c r="E82" s="42" t="s">
        <v>451</v>
      </c>
      <c r="F82" s="42" t="s">
        <v>452</v>
      </c>
      <c r="G82" s="43" t="s">
        <v>469</v>
      </c>
      <c r="H82" s="42">
        <v>2.0</v>
      </c>
      <c r="J82" s="42">
        <v>2.0</v>
      </c>
      <c r="K82" s="42">
        <v>0.0</v>
      </c>
      <c r="L82" s="43" t="s">
        <v>470</v>
      </c>
      <c r="M82" s="48" t="s">
        <v>471</v>
      </c>
      <c r="N82" s="48">
        <v>0.0</v>
      </c>
      <c r="O82" s="43" t="s">
        <v>472</v>
      </c>
      <c r="P82" s="42">
        <v>2.0</v>
      </c>
      <c r="Q82" s="45"/>
      <c r="R82" s="45"/>
      <c r="S82" s="46"/>
      <c r="T82" s="46"/>
    </row>
    <row r="83" ht="22.5" customHeight="1">
      <c r="A83" s="40">
        <v>46209.92375119213</v>
      </c>
      <c r="B83" s="41">
        <v>46207.0</v>
      </c>
      <c r="C83" s="42" t="s">
        <v>22</v>
      </c>
      <c r="D83" s="42" t="s">
        <v>26</v>
      </c>
      <c r="E83" s="42" t="s">
        <v>451</v>
      </c>
      <c r="F83" s="42" t="s">
        <v>452</v>
      </c>
      <c r="G83" s="43" t="s">
        <v>473</v>
      </c>
      <c r="H83" s="42">
        <v>17.0</v>
      </c>
      <c r="J83" s="42">
        <v>5.0</v>
      </c>
      <c r="K83" s="42">
        <v>3.0</v>
      </c>
      <c r="L83" s="43" t="s">
        <v>474</v>
      </c>
      <c r="M83" s="50">
        <v>8.57261249780896E58</v>
      </c>
      <c r="N83" s="50">
        <v>8.95347539178089E34</v>
      </c>
      <c r="O83" s="43" t="s">
        <v>475</v>
      </c>
      <c r="P83" s="42">
        <v>5.0</v>
      </c>
      <c r="Q83" s="45"/>
      <c r="R83" s="45"/>
      <c r="T83" s="47"/>
    </row>
    <row r="84" ht="22.5" customHeight="1">
      <c r="A84" s="40">
        <v>46209.927767719906</v>
      </c>
      <c r="B84" s="41">
        <v>46208.0</v>
      </c>
      <c r="C84" s="42" t="s">
        <v>22</v>
      </c>
      <c r="D84" s="42" t="s">
        <v>26</v>
      </c>
      <c r="E84" s="42" t="s">
        <v>451</v>
      </c>
      <c r="F84" s="42" t="s">
        <v>458</v>
      </c>
      <c r="G84" s="43" t="s">
        <v>476</v>
      </c>
      <c r="H84" s="42">
        <v>15.0</v>
      </c>
      <c r="J84" s="42">
        <v>6.0</v>
      </c>
      <c r="K84" s="42">
        <v>2.0</v>
      </c>
      <c r="L84" s="43" t="s">
        <v>477</v>
      </c>
      <c r="M84" s="50">
        <v>8.57254520780857E71</v>
      </c>
      <c r="N84" s="50">
        <v>8.56077968720896E22</v>
      </c>
      <c r="O84" s="43" t="s">
        <v>478</v>
      </c>
      <c r="P84" s="42">
        <v>7.0</v>
      </c>
      <c r="Q84" s="45"/>
      <c r="R84" s="45"/>
      <c r="T84" s="47"/>
    </row>
    <row r="85" ht="22.5" customHeight="1">
      <c r="A85" s="40">
        <v>46209.95228702546</v>
      </c>
      <c r="B85" s="41">
        <v>46209.0</v>
      </c>
      <c r="C85" s="42" t="s">
        <v>22</v>
      </c>
      <c r="D85" s="42" t="s">
        <v>26</v>
      </c>
      <c r="E85" s="42" t="s">
        <v>451</v>
      </c>
      <c r="F85" s="42" t="s">
        <v>452</v>
      </c>
      <c r="G85" s="43" t="s">
        <v>479</v>
      </c>
      <c r="H85" s="42">
        <v>20.0</v>
      </c>
      <c r="J85" s="42">
        <v>3.0</v>
      </c>
      <c r="K85" s="42">
        <v>3.0</v>
      </c>
      <c r="L85" s="43" t="s">
        <v>480</v>
      </c>
      <c r="M85" s="50">
        <v>8.57254521030896E34</v>
      </c>
      <c r="N85" s="50">
        <v>8.96121143360857E35</v>
      </c>
      <c r="O85" s="43" t="s">
        <v>481</v>
      </c>
      <c r="P85" s="42">
        <v>3.0</v>
      </c>
      <c r="Q85" s="45"/>
      <c r="R85" s="45"/>
      <c r="T85" s="47"/>
    </row>
    <row r="86" ht="22.5" customHeight="1">
      <c r="A86" s="40">
        <v>46198.93810611111</v>
      </c>
      <c r="B86" s="41">
        <v>46198.0</v>
      </c>
      <c r="C86" s="42" t="s">
        <v>22</v>
      </c>
      <c r="D86" s="42" t="s">
        <v>26</v>
      </c>
      <c r="E86" s="42" t="s">
        <v>451</v>
      </c>
      <c r="F86" s="42" t="s">
        <v>452</v>
      </c>
      <c r="G86" s="43" t="s">
        <v>482</v>
      </c>
      <c r="H86" s="42">
        <v>9.0</v>
      </c>
      <c r="J86" s="42">
        <v>8.0</v>
      </c>
      <c r="K86" s="42">
        <v>3.0</v>
      </c>
      <c r="L86" s="43" t="s">
        <v>483</v>
      </c>
      <c r="M86" s="48" t="s">
        <v>484</v>
      </c>
      <c r="N86" s="48" t="s">
        <v>485</v>
      </c>
      <c r="O86" s="43" t="s">
        <v>486</v>
      </c>
      <c r="P86" s="42">
        <v>11.0</v>
      </c>
      <c r="Q86" s="45"/>
      <c r="R86" s="45"/>
      <c r="S86" s="46"/>
      <c r="T86" s="46"/>
    </row>
    <row r="87" ht="22.5" customHeight="1">
      <c r="A87" s="40">
        <v>46199.9931209375</v>
      </c>
      <c r="B87" s="41">
        <v>46199.0</v>
      </c>
      <c r="C87" s="42" t="s">
        <v>22</v>
      </c>
      <c r="D87" s="42" t="s">
        <v>26</v>
      </c>
      <c r="E87" s="42" t="s">
        <v>451</v>
      </c>
      <c r="F87" s="42" t="s">
        <v>458</v>
      </c>
      <c r="G87" s="43" t="s">
        <v>487</v>
      </c>
      <c r="H87" s="42">
        <v>6.0</v>
      </c>
      <c r="J87" s="42">
        <v>8.0</v>
      </c>
      <c r="K87" s="42">
        <v>5.0</v>
      </c>
      <c r="L87" s="43" t="s">
        <v>488</v>
      </c>
      <c r="M87" s="48" t="s">
        <v>489</v>
      </c>
      <c r="N87" s="48" t="s">
        <v>490</v>
      </c>
      <c r="O87" s="43" t="s">
        <v>491</v>
      </c>
      <c r="P87" s="42">
        <v>12.0</v>
      </c>
      <c r="Q87" s="45"/>
      <c r="R87" s="45"/>
      <c r="S87" s="46"/>
      <c r="T87" s="46"/>
    </row>
    <row r="88" ht="22.5" customHeight="1">
      <c r="A88" s="40">
        <v>46200.9732796875</v>
      </c>
      <c r="B88" s="41">
        <v>46200.0</v>
      </c>
      <c r="C88" s="42" t="s">
        <v>22</v>
      </c>
      <c r="D88" s="42" t="s">
        <v>26</v>
      </c>
      <c r="E88" s="42" t="s">
        <v>451</v>
      </c>
      <c r="F88" s="42" t="s">
        <v>452</v>
      </c>
      <c r="G88" s="43" t="s">
        <v>492</v>
      </c>
      <c r="H88" s="42">
        <v>5.0</v>
      </c>
      <c r="J88" s="42">
        <v>3.0</v>
      </c>
      <c r="K88" s="42">
        <v>3.0</v>
      </c>
      <c r="L88" s="43" t="s">
        <v>493</v>
      </c>
      <c r="M88" s="48" t="s">
        <v>494</v>
      </c>
      <c r="N88" s="48" t="s">
        <v>495</v>
      </c>
      <c r="O88" s="43" t="s">
        <v>496</v>
      </c>
      <c r="P88" s="42">
        <v>6.0</v>
      </c>
      <c r="Q88" s="45"/>
      <c r="R88" s="45"/>
      <c r="S88" s="46"/>
      <c r="T88" s="46"/>
    </row>
    <row r="89" ht="22.5" customHeight="1">
      <c r="A89" s="40">
        <v>46205.971123703705</v>
      </c>
      <c r="B89" s="41">
        <v>46205.0</v>
      </c>
      <c r="C89" s="42" t="s">
        <v>22</v>
      </c>
      <c r="D89" s="42" t="s">
        <v>26</v>
      </c>
      <c r="E89" s="42" t="s">
        <v>451</v>
      </c>
      <c r="F89" s="42" t="s">
        <v>452</v>
      </c>
      <c r="G89" s="43" t="s">
        <v>497</v>
      </c>
      <c r="H89" s="42">
        <v>20.0</v>
      </c>
      <c r="J89" s="42">
        <v>9.0</v>
      </c>
      <c r="K89" s="42">
        <v>4.0</v>
      </c>
      <c r="L89" s="43" t="s">
        <v>498</v>
      </c>
      <c r="M89" s="42" t="s">
        <v>499</v>
      </c>
      <c r="N89" s="42" t="s">
        <v>500</v>
      </c>
      <c r="O89" s="43" t="s">
        <v>501</v>
      </c>
      <c r="P89" s="42">
        <v>5.0</v>
      </c>
      <c r="Q89" s="45"/>
      <c r="R89" s="45"/>
      <c r="S89" s="46"/>
      <c r="T89" s="46"/>
    </row>
    <row r="90" ht="22.5" customHeight="1">
      <c r="A90" s="40">
        <v>46206.79408856481</v>
      </c>
      <c r="B90" s="41">
        <v>46206.0</v>
      </c>
      <c r="C90" s="42" t="s">
        <v>22</v>
      </c>
      <c r="D90" s="42" t="s">
        <v>26</v>
      </c>
      <c r="E90" s="42" t="s">
        <v>451</v>
      </c>
      <c r="F90" s="42" t="s">
        <v>452</v>
      </c>
      <c r="G90" s="43" t="s">
        <v>502</v>
      </c>
      <c r="H90" s="42">
        <v>10.0</v>
      </c>
      <c r="J90" s="42">
        <v>8.0</v>
      </c>
      <c r="K90" s="42">
        <v>2.0</v>
      </c>
      <c r="L90" s="43" t="s">
        <v>503</v>
      </c>
      <c r="M90" s="42" t="s">
        <v>504</v>
      </c>
      <c r="N90" s="42" t="s">
        <v>505</v>
      </c>
      <c r="O90" s="43" t="s">
        <v>506</v>
      </c>
      <c r="P90" s="42">
        <v>8.0</v>
      </c>
      <c r="Q90" s="45"/>
      <c r="R90" s="45"/>
      <c r="S90" s="46"/>
      <c r="T90" s="46"/>
    </row>
    <row r="91" ht="22.5" customHeight="1">
      <c r="A91" s="40">
        <v>46211.00164116899</v>
      </c>
      <c r="B91" s="41">
        <v>46210.0</v>
      </c>
      <c r="C91" s="42" t="s">
        <v>22</v>
      </c>
      <c r="D91" s="42" t="s">
        <v>26</v>
      </c>
      <c r="E91" s="42" t="s">
        <v>451</v>
      </c>
      <c r="F91" s="42" t="s">
        <v>458</v>
      </c>
      <c r="G91" s="43" t="s">
        <v>507</v>
      </c>
      <c r="H91" s="42">
        <v>17.0</v>
      </c>
      <c r="J91" s="42">
        <v>6.0</v>
      </c>
      <c r="K91" s="42">
        <v>3.0</v>
      </c>
      <c r="L91" s="43" t="s">
        <v>508</v>
      </c>
      <c r="M91" s="50">
        <v>8.96814502030857E70</v>
      </c>
      <c r="N91" s="42" t="s">
        <v>509</v>
      </c>
      <c r="O91" s="43" t="s">
        <v>510</v>
      </c>
      <c r="P91" s="42">
        <v>5.0</v>
      </c>
      <c r="T91" s="47"/>
    </row>
    <row r="92" ht="22.5" customHeight="1">
      <c r="A92" s="40">
        <v>46198.96389908565</v>
      </c>
      <c r="B92" s="41">
        <v>46198.0</v>
      </c>
      <c r="C92" s="42" t="s">
        <v>19</v>
      </c>
      <c r="D92" s="42" t="s">
        <v>21</v>
      </c>
      <c r="E92" s="42" t="s">
        <v>511</v>
      </c>
      <c r="F92" s="42" t="s">
        <v>512</v>
      </c>
      <c r="G92" s="43" t="s">
        <v>513</v>
      </c>
      <c r="H92" s="42">
        <v>9.0</v>
      </c>
      <c r="J92" s="42">
        <v>1.0</v>
      </c>
      <c r="K92" s="42" t="s">
        <v>236</v>
      </c>
      <c r="L92" s="43" t="s">
        <v>514</v>
      </c>
      <c r="M92" s="49" t="s">
        <v>515</v>
      </c>
      <c r="N92" s="48" t="s">
        <v>236</v>
      </c>
      <c r="O92" s="43" t="s">
        <v>516</v>
      </c>
      <c r="P92" s="42">
        <v>1.0</v>
      </c>
      <c r="Q92" s="45"/>
      <c r="R92" s="45"/>
      <c r="S92" s="46"/>
      <c r="T92" s="46"/>
    </row>
    <row r="93" ht="22.5" customHeight="1">
      <c r="A93" s="40">
        <v>46199.60670431713</v>
      </c>
      <c r="B93" s="41">
        <v>46199.0</v>
      </c>
      <c r="C93" s="42" t="s">
        <v>19</v>
      </c>
      <c r="D93" s="42" t="s">
        <v>21</v>
      </c>
      <c r="E93" s="42" t="s">
        <v>511</v>
      </c>
      <c r="F93" s="42" t="s">
        <v>517</v>
      </c>
      <c r="G93" s="43" t="s">
        <v>518</v>
      </c>
      <c r="H93" s="42">
        <v>1.0</v>
      </c>
      <c r="J93" s="42" t="s">
        <v>216</v>
      </c>
      <c r="K93" s="42" t="s">
        <v>216</v>
      </c>
      <c r="L93" s="43" t="s">
        <v>519</v>
      </c>
      <c r="M93" s="48" t="s">
        <v>216</v>
      </c>
      <c r="N93" s="48" t="s">
        <v>216</v>
      </c>
      <c r="O93" s="43" t="s">
        <v>520</v>
      </c>
      <c r="P93" s="45"/>
      <c r="Q93" s="45"/>
      <c r="R93" s="45"/>
      <c r="S93" s="46"/>
      <c r="T93" s="46"/>
    </row>
    <row r="94" ht="22.5" customHeight="1">
      <c r="A94" s="40">
        <v>46201.056961180555</v>
      </c>
      <c r="B94" s="41">
        <v>46200.0</v>
      </c>
      <c r="C94" s="42" t="s">
        <v>19</v>
      </c>
      <c r="D94" s="42" t="s">
        <v>21</v>
      </c>
      <c r="E94" s="42" t="s">
        <v>511</v>
      </c>
      <c r="F94" s="42" t="s">
        <v>521</v>
      </c>
      <c r="G94" s="43" t="s">
        <v>522</v>
      </c>
      <c r="H94" s="42">
        <v>1.0</v>
      </c>
      <c r="J94" s="42" t="s">
        <v>216</v>
      </c>
      <c r="K94" s="42" t="s">
        <v>216</v>
      </c>
      <c r="L94" s="43" t="s">
        <v>523</v>
      </c>
      <c r="M94" s="48" t="s">
        <v>216</v>
      </c>
      <c r="N94" s="48" t="s">
        <v>236</v>
      </c>
      <c r="O94" s="43" t="s">
        <v>524</v>
      </c>
      <c r="P94" s="45"/>
      <c r="Q94" s="45"/>
      <c r="R94" s="45"/>
      <c r="S94" s="46"/>
      <c r="T94" s="46"/>
    </row>
    <row r="95" ht="22.5" customHeight="1">
      <c r="A95" s="40">
        <v>46200.94338726852</v>
      </c>
      <c r="B95" s="41">
        <v>46200.0</v>
      </c>
      <c r="C95" s="42" t="s">
        <v>19</v>
      </c>
      <c r="D95" s="42" t="s">
        <v>10</v>
      </c>
      <c r="E95" s="42" t="s">
        <v>525</v>
      </c>
      <c r="F95" s="42" t="s">
        <v>526</v>
      </c>
      <c r="G95" s="43" t="s">
        <v>527</v>
      </c>
      <c r="H95" s="42">
        <v>25.0</v>
      </c>
      <c r="J95" s="42">
        <v>1.0</v>
      </c>
      <c r="K95" s="42">
        <v>1.0</v>
      </c>
      <c r="L95" s="43" t="s">
        <v>528</v>
      </c>
      <c r="M95" s="49" t="s">
        <v>529</v>
      </c>
      <c r="N95" s="49" t="s">
        <v>530</v>
      </c>
      <c r="O95" s="43" t="s">
        <v>531</v>
      </c>
      <c r="P95" s="42">
        <v>2.0</v>
      </c>
      <c r="Q95" s="45"/>
      <c r="R95" s="45"/>
      <c r="S95" s="46"/>
      <c r="T95" s="46"/>
    </row>
    <row r="96" ht="22.5" customHeight="1">
      <c r="A96" s="40">
        <v>46201.95122724537</v>
      </c>
      <c r="B96" s="41">
        <v>46201.0</v>
      </c>
      <c r="C96" s="42" t="s">
        <v>19</v>
      </c>
      <c r="D96" s="42" t="s">
        <v>10</v>
      </c>
      <c r="E96" s="42" t="s">
        <v>525</v>
      </c>
      <c r="F96" s="42" t="s">
        <v>532</v>
      </c>
      <c r="G96" s="43" t="s">
        <v>533</v>
      </c>
      <c r="H96" s="42">
        <v>20.0</v>
      </c>
      <c r="J96" s="42">
        <v>4.0</v>
      </c>
      <c r="K96" s="42">
        <v>1.0</v>
      </c>
      <c r="L96" s="43" t="s">
        <v>534</v>
      </c>
      <c r="M96" s="49" t="s">
        <v>535</v>
      </c>
      <c r="N96" s="49" t="s">
        <v>535</v>
      </c>
      <c r="O96" s="43" t="s">
        <v>536</v>
      </c>
      <c r="P96" s="42">
        <v>2.0</v>
      </c>
      <c r="Q96" s="45"/>
      <c r="R96" s="45"/>
      <c r="S96" s="46"/>
      <c r="T96" s="46"/>
    </row>
    <row r="97" ht="22.5" customHeight="1">
      <c r="A97" s="40">
        <v>46204.8421559375</v>
      </c>
      <c r="B97" s="41">
        <v>46204.0</v>
      </c>
      <c r="C97" s="42" t="s">
        <v>19</v>
      </c>
      <c r="D97" s="42" t="s">
        <v>21</v>
      </c>
      <c r="E97" s="52" t="s">
        <v>537</v>
      </c>
      <c r="F97" s="42" t="s">
        <v>538</v>
      </c>
      <c r="G97" s="43" t="s">
        <v>539</v>
      </c>
      <c r="H97" s="42">
        <v>20.0</v>
      </c>
      <c r="J97" s="42">
        <v>0.0</v>
      </c>
      <c r="K97" s="42">
        <v>0.0</v>
      </c>
      <c r="M97" s="42">
        <v>0.0</v>
      </c>
      <c r="N97" s="42">
        <v>0.0</v>
      </c>
      <c r="O97" s="43" t="s">
        <v>540</v>
      </c>
      <c r="P97" s="42">
        <v>0.0</v>
      </c>
      <c r="Q97" s="45"/>
      <c r="R97" s="45"/>
      <c r="S97" s="46"/>
      <c r="T97" s="46"/>
    </row>
    <row r="98" ht="22.5" customHeight="1">
      <c r="A98" s="40">
        <v>46205.860641203704</v>
      </c>
      <c r="B98" s="41">
        <v>46205.0</v>
      </c>
      <c r="C98" s="42" t="s">
        <v>19</v>
      </c>
      <c r="D98" s="42" t="s">
        <v>21</v>
      </c>
      <c r="E98" s="52" t="s">
        <v>537</v>
      </c>
      <c r="F98" s="42" t="s">
        <v>538</v>
      </c>
      <c r="G98" s="43" t="s">
        <v>541</v>
      </c>
      <c r="H98" s="42">
        <v>20.0</v>
      </c>
      <c r="J98" s="42">
        <v>0.0</v>
      </c>
      <c r="K98" s="42">
        <v>0.0</v>
      </c>
      <c r="M98" s="42">
        <v>0.0</v>
      </c>
      <c r="N98" s="42">
        <v>0.0</v>
      </c>
      <c r="O98" s="43" t="s">
        <v>542</v>
      </c>
      <c r="P98" s="42">
        <v>0.0</v>
      </c>
      <c r="Q98" s="45"/>
      <c r="R98" s="45"/>
      <c r="S98" s="46"/>
      <c r="T98" s="46"/>
    </row>
    <row r="99" ht="22.5" customHeight="1">
      <c r="A99" s="40">
        <v>46206.81397762732</v>
      </c>
      <c r="B99" s="41">
        <v>46206.0</v>
      </c>
      <c r="C99" s="42" t="s">
        <v>19</v>
      </c>
      <c r="D99" s="42" t="s">
        <v>21</v>
      </c>
      <c r="E99" s="52" t="s">
        <v>537</v>
      </c>
      <c r="F99" s="42" t="s">
        <v>538</v>
      </c>
      <c r="G99" s="43" t="s">
        <v>543</v>
      </c>
      <c r="H99" s="42">
        <v>20.0</v>
      </c>
      <c r="J99" s="42">
        <v>0.0</v>
      </c>
      <c r="K99" s="42">
        <v>0.0</v>
      </c>
      <c r="M99" s="42">
        <v>0.0</v>
      </c>
      <c r="N99" s="42">
        <v>0.0</v>
      </c>
      <c r="O99" s="43" t="s">
        <v>544</v>
      </c>
      <c r="P99" s="42">
        <v>0.0</v>
      </c>
      <c r="Q99" s="45"/>
      <c r="R99" s="45"/>
      <c r="S99" s="46"/>
      <c r="T99" s="46"/>
    </row>
    <row r="100" ht="22.5" customHeight="1">
      <c r="A100" s="40">
        <v>46209.783873402775</v>
      </c>
      <c r="B100" s="41">
        <v>46208.0</v>
      </c>
      <c r="C100" s="42" t="s">
        <v>19</v>
      </c>
      <c r="D100" s="42" t="s">
        <v>21</v>
      </c>
      <c r="E100" s="52" t="s">
        <v>537</v>
      </c>
      <c r="F100" s="42" t="s">
        <v>538</v>
      </c>
      <c r="G100" s="43" t="s">
        <v>545</v>
      </c>
      <c r="H100" s="42">
        <v>20.0</v>
      </c>
      <c r="J100" s="42">
        <v>0.0</v>
      </c>
      <c r="K100" s="42">
        <v>0.0</v>
      </c>
      <c r="M100" s="42">
        <v>0.0</v>
      </c>
      <c r="N100" s="42">
        <v>0.0</v>
      </c>
      <c r="O100" s="43" t="s">
        <v>546</v>
      </c>
      <c r="P100" s="42">
        <v>0.0</v>
      </c>
      <c r="Q100" s="45"/>
      <c r="R100" s="45"/>
      <c r="T100" s="47"/>
    </row>
    <row r="101" ht="22.5" customHeight="1">
      <c r="A101" s="40">
        <v>46209.87385775463</v>
      </c>
      <c r="B101" s="41">
        <v>46207.0</v>
      </c>
      <c r="C101" s="42" t="s">
        <v>19</v>
      </c>
      <c r="D101" s="42" t="s">
        <v>21</v>
      </c>
      <c r="E101" s="52" t="s">
        <v>537</v>
      </c>
      <c r="F101" s="42" t="s">
        <v>538</v>
      </c>
      <c r="G101" s="43" t="s">
        <v>547</v>
      </c>
      <c r="H101" s="42">
        <v>20.0</v>
      </c>
      <c r="J101" s="42">
        <v>0.0</v>
      </c>
      <c r="K101" s="42">
        <v>0.0</v>
      </c>
      <c r="M101" s="42">
        <v>0.0</v>
      </c>
      <c r="N101" s="42">
        <v>0.0</v>
      </c>
      <c r="O101" s="43" t="s">
        <v>548</v>
      </c>
      <c r="P101" s="42">
        <v>0.0</v>
      </c>
      <c r="Q101" s="45"/>
      <c r="R101" s="45"/>
      <c r="T101" s="47"/>
    </row>
    <row r="102" ht="22.5" customHeight="1">
      <c r="A102" s="40">
        <v>46210.885309351856</v>
      </c>
      <c r="B102" s="41">
        <v>46210.0</v>
      </c>
      <c r="C102" s="42" t="s">
        <v>19</v>
      </c>
      <c r="D102" s="42" t="s">
        <v>21</v>
      </c>
      <c r="E102" s="52" t="s">
        <v>537</v>
      </c>
      <c r="F102" s="42" t="s">
        <v>538</v>
      </c>
      <c r="G102" s="43" t="s">
        <v>549</v>
      </c>
      <c r="H102" s="42">
        <v>20.0</v>
      </c>
      <c r="J102" s="42">
        <v>0.0</v>
      </c>
      <c r="K102" s="42">
        <v>0.0</v>
      </c>
      <c r="M102" s="42">
        <v>0.0</v>
      </c>
      <c r="N102" s="42">
        <v>0.0</v>
      </c>
      <c r="O102" s="43" t="s">
        <v>550</v>
      </c>
      <c r="P102" s="42">
        <v>0.0</v>
      </c>
      <c r="T102" s="47"/>
    </row>
    <row r="103" ht="22.5" customHeight="1">
      <c r="A103" s="40">
        <v>46210.94198072917</v>
      </c>
      <c r="B103" s="41">
        <v>46210.0</v>
      </c>
      <c r="C103" s="42" t="s">
        <v>19</v>
      </c>
      <c r="D103" s="42" t="s">
        <v>21</v>
      </c>
      <c r="E103" s="52" t="s">
        <v>537</v>
      </c>
      <c r="F103" s="42" t="s">
        <v>538</v>
      </c>
      <c r="G103" s="43" t="s">
        <v>551</v>
      </c>
      <c r="H103" s="42">
        <v>20.0</v>
      </c>
      <c r="J103" s="42">
        <v>0.0</v>
      </c>
      <c r="K103" s="42">
        <v>0.0</v>
      </c>
      <c r="M103" s="42">
        <v>0.0</v>
      </c>
      <c r="N103" s="42">
        <v>0.0</v>
      </c>
      <c r="O103" s="43" t="s">
        <v>552</v>
      </c>
      <c r="P103" s="42">
        <v>0.0</v>
      </c>
      <c r="T103" s="47"/>
      <c r="U103" s="53" t="s">
        <v>61</v>
      </c>
    </row>
    <row r="104" ht="22.5" customHeight="1">
      <c r="A104" s="40">
        <v>46203.88651003472</v>
      </c>
      <c r="B104" s="41">
        <v>46203.0</v>
      </c>
      <c r="C104" s="42" t="s">
        <v>19</v>
      </c>
      <c r="D104" s="42" t="s">
        <v>18</v>
      </c>
      <c r="E104" s="42" t="s">
        <v>553</v>
      </c>
      <c r="F104" s="42" t="s">
        <v>554</v>
      </c>
      <c r="G104" s="43" t="s">
        <v>555</v>
      </c>
      <c r="H104" s="42">
        <v>15.0</v>
      </c>
      <c r="J104" s="42">
        <v>2.0</v>
      </c>
      <c r="K104" s="42">
        <v>2.0</v>
      </c>
      <c r="L104" s="43" t="s">
        <v>556</v>
      </c>
      <c r="M104" s="48" t="s">
        <v>216</v>
      </c>
      <c r="N104" s="48" t="s">
        <v>282</v>
      </c>
      <c r="O104" s="43" t="s">
        <v>557</v>
      </c>
      <c r="P104" s="42">
        <v>0.0</v>
      </c>
      <c r="Q104" s="45"/>
      <c r="R104" s="45"/>
      <c r="S104" s="46"/>
      <c r="T104" s="46"/>
    </row>
    <row r="105" ht="22.5" customHeight="1">
      <c r="A105" s="40">
        <v>46204.867998229165</v>
      </c>
      <c r="B105" s="41">
        <v>46204.0</v>
      </c>
      <c r="C105" s="42" t="s">
        <v>19</v>
      </c>
      <c r="D105" s="42" t="s">
        <v>18</v>
      </c>
      <c r="E105" s="42" t="s">
        <v>553</v>
      </c>
      <c r="F105" s="42" t="s">
        <v>558</v>
      </c>
      <c r="G105" s="43" t="s">
        <v>559</v>
      </c>
      <c r="H105" s="42">
        <v>10.0</v>
      </c>
      <c r="J105" s="42">
        <v>3.0</v>
      </c>
      <c r="K105" s="42">
        <v>8.0</v>
      </c>
      <c r="L105" s="43" t="s">
        <v>560</v>
      </c>
      <c r="M105" s="42" t="s">
        <v>561</v>
      </c>
      <c r="N105" s="42" t="s">
        <v>562</v>
      </c>
      <c r="O105" s="43" t="s">
        <v>563</v>
      </c>
      <c r="P105" s="42">
        <v>9.0</v>
      </c>
      <c r="Q105" s="45"/>
      <c r="R105" s="45"/>
      <c r="S105" s="46"/>
      <c r="T105" s="46"/>
    </row>
    <row r="106" ht="22.5" customHeight="1">
      <c r="A106" s="40">
        <v>46205.76986108796</v>
      </c>
      <c r="B106" s="41">
        <v>46205.0</v>
      </c>
      <c r="C106" s="42" t="s">
        <v>19</v>
      </c>
      <c r="D106" s="42" t="s">
        <v>18</v>
      </c>
      <c r="E106" s="42" t="s">
        <v>553</v>
      </c>
      <c r="F106" s="42" t="s">
        <v>558</v>
      </c>
      <c r="G106" s="43" t="s">
        <v>564</v>
      </c>
      <c r="H106" s="42">
        <v>12.0</v>
      </c>
      <c r="J106" s="42">
        <v>2.0</v>
      </c>
      <c r="K106" s="42">
        <v>2.0</v>
      </c>
      <c r="L106" s="43" t="s">
        <v>565</v>
      </c>
      <c r="M106" s="42" t="s">
        <v>566</v>
      </c>
      <c r="N106" s="42" t="s">
        <v>567</v>
      </c>
      <c r="O106" s="43" t="s">
        <v>568</v>
      </c>
      <c r="P106" s="42">
        <v>5.0</v>
      </c>
      <c r="Q106" s="45"/>
      <c r="R106" s="45"/>
      <c r="S106" s="46"/>
      <c r="T106" s="46"/>
    </row>
    <row r="107" ht="22.5" customHeight="1">
      <c r="A107" s="40">
        <v>46209.81901146991</v>
      </c>
      <c r="B107" s="41">
        <v>46207.0</v>
      </c>
      <c r="C107" s="42" t="s">
        <v>19</v>
      </c>
      <c r="D107" s="42" t="s">
        <v>18</v>
      </c>
      <c r="E107" s="42" t="s">
        <v>553</v>
      </c>
      <c r="F107" s="42" t="s">
        <v>569</v>
      </c>
      <c r="G107" s="43" t="s">
        <v>570</v>
      </c>
      <c r="H107" s="42">
        <v>25.0</v>
      </c>
      <c r="J107" s="42">
        <v>1.0</v>
      </c>
      <c r="K107" s="42">
        <v>8.0</v>
      </c>
      <c r="L107" s="43" t="s">
        <v>571</v>
      </c>
      <c r="M107" s="44" t="s">
        <v>572</v>
      </c>
      <c r="N107" s="42" t="s">
        <v>573</v>
      </c>
      <c r="O107" s="43" t="s">
        <v>574</v>
      </c>
      <c r="P107" s="42">
        <v>10.0</v>
      </c>
      <c r="Q107" s="45"/>
      <c r="R107" s="45"/>
      <c r="T107" s="47"/>
    </row>
    <row r="108" ht="22.5" customHeight="1">
      <c r="A108" s="40">
        <v>46209.966636296296</v>
      </c>
      <c r="B108" s="41">
        <v>46209.0</v>
      </c>
      <c r="C108" s="42" t="s">
        <v>19</v>
      </c>
      <c r="D108" s="42" t="s">
        <v>18</v>
      </c>
      <c r="E108" s="42" t="s">
        <v>553</v>
      </c>
      <c r="F108" s="42" t="s">
        <v>558</v>
      </c>
      <c r="G108" s="43" t="s">
        <v>575</v>
      </c>
      <c r="H108" s="42">
        <v>13.0</v>
      </c>
      <c r="J108" s="42">
        <v>3.0</v>
      </c>
      <c r="K108" s="42">
        <v>10.0</v>
      </c>
      <c r="L108" s="43" t="s">
        <v>576</v>
      </c>
      <c r="M108" s="42" t="s">
        <v>577</v>
      </c>
      <c r="N108" s="42" t="s">
        <v>578</v>
      </c>
      <c r="O108" s="43" t="s">
        <v>579</v>
      </c>
      <c r="P108" s="42">
        <v>8.0</v>
      </c>
      <c r="Q108" s="45"/>
      <c r="R108" s="45"/>
      <c r="T108" s="47"/>
    </row>
    <row r="109" ht="22.5" customHeight="1">
      <c r="A109" s="40">
        <v>46210.76221428241</v>
      </c>
      <c r="B109" s="41">
        <v>46210.0</v>
      </c>
      <c r="C109" s="42" t="s">
        <v>19</v>
      </c>
      <c r="D109" s="42" t="s">
        <v>18</v>
      </c>
      <c r="E109" s="42" t="s">
        <v>553</v>
      </c>
      <c r="F109" s="42" t="s">
        <v>569</v>
      </c>
      <c r="G109" s="43" t="s">
        <v>580</v>
      </c>
      <c r="H109" s="42">
        <v>25.0</v>
      </c>
      <c r="J109" s="42">
        <v>3.0</v>
      </c>
      <c r="K109" s="42">
        <v>15.0</v>
      </c>
      <c r="L109" s="43" t="s">
        <v>581</v>
      </c>
      <c r="M109" s="42" t="s">
        <v>582</v>
      </c>
      <c r="N109" s="42" t="s">
        <v>583</v>
      </c>
      <c r="O109" s="43" t="s">
        <v>584</v>
      </c>
      <c r="P109" s="42">
        <v>10.0</v>
      </c>
      <c r="T109" s="47"/>
    </row>
    <row r="110" ht="22.5" customHeight="1">
      <c r="A110" s="40">
        <v>46209.75450115741</v>
      </c>
      <c r="B110" s="41">
        <v>46209.0</v>
      </c>
      <c r="C110" s="42" t="s">
        <v>19</v>
      </c>
      <c r="D110" s="42" t="s">
        <v>15</v>
      </c>
      <c r="E110" s="42" t="s">
        <v>585</v>
      </c>
      <c r="F110" s="42" t="s">
        <v>586</v>
      </c>
      <c r="G110" s="43" t="s">
        <v>587</v>
      </c>
      <c r="H110" s="42">
        <v>18.0</v>
      </c>
      <c r="J110" s="42" t="s">
        <v>216</v>
      </c>
      <c r="K110" s="42" t="s">
        <v>216</v>
      </c>
      <c r="M110" s="42" t="s">
        <v>216</v>
      </c>
      <c r="N110" s="42" t="s">
        <v>216</v>
      </c>
      <c r="O110" s="43" t="s">
        <v>588</v>
      </c>
      <c r="P110" s="42">
        <v>18.0</v>
      </c>
      <c r="Q110" s="45"/>
      <c r="R110" s="45"/>
      <c r="T110" s="47"/>
    </row>
    <row r="111" ht="22.5" customHeight="1">
      <c r="A111" s="40">
        <v>46210.74096769676</v>
      </c>
      <c r="B111" s="41">
        <v>46210.0</v>
      </c>
      <c r="C111" s="42" t="s">
        <v>19</v>
      </c>
      <c r="D111" s="42" t="s">
        <v>15</v>
      </c>
      <c r="E111" s="42" t="s">
        <v>585</v>
      </c>
      <c r="F111" s="42" t="s">
        <v>589</v>
      </c>
      <c r="G111" s="43" t="s">
        <v>590</v>
      </c>
      <c r="H111" s="42">
        <v>21.0</v>
      </c>
      <c r="J111" s="42" t="s">
        <v>216</v>
      </c>
      <c r="K111" s="42">
        <v>1.0</v>
      </c>
      <c r="L111" s="43" t="s">
        <v>591</v>
      </c>
      <c r="M111" s="42" t="s">
        <v>216</v>
      </c>
      <c r="N111" s="44" t="s">
        <v>592</v>
      </c>
      <c r="O111" s="43" t="s">
        <v>593</v>
      </c>
      <c r="P111" s="42">
        <v>21.0</v>
      </c>
      <c r="T111" s="47"/>
    </row>
    <row r="112" ht="22.5" customHeight="1">
      <c r="A112" s="40">
        <v>46209.58440961805</v>
      </c>
      <c r="B112" s="41">
        <v>46207.0</v>
      </c>
      <c r="C112" s="42" t="s">
        <v>19</v>
      </c>
      <c r="D112" s="42" t="s">
        <v>21</v>
      </c>
      <c r="E112" s="42" t="s">
        <v>594</v>
      </c>
      <c r="F112" s="42" t="s">
        <v>595</v>
      </c>
      <c r="G112" s="43" t="s">
        <v>596</v>
      </c>
      <c r="H112" s="42" t="s">
        <v>597</v>
      </c>
      <c r="J112" s="42">
        <v>1.0</v>
      </c>
      <c r="K112" s="42">
        <v>0.0</v>
      </c>
      <c r="L112" s="43" t="s">
        <v>598</v>
      </c>
      <c r="M112" s="44" t="s">
        <v>599</v>
      </c>
      <c r="N112" s="42">
        <v>0.0</v>
      </c>
      <c r="O112" s="43" t="s">
        <v>600</v>
      </c>
      <c r="P112" s="42">
        <v>20.0</v>
      </c>
      <c r="Q112" s="45"/>
      <c r="R112" s="45"/>
      <c r="S112" s="46"/>
      <c r="T112" s="46"/>
    </row>
    <row r="113" ht="22.5" customHeight="1">
      <c r="A113" s="40">
        <v>46209.829084247685</v>
      </c>
      <c r="B113" s="41">
        <v>46207.0</v>
      </c>
      <c r="C113" s="42" t="s">
        <v>19</v>
      </c>
      <c r="D113" s="42" t="s">
        <v>21</v>
      </c>
      <c r="E113" s="42" t="s">
        <v>594</v>
      </c>
      <c r="F113" s="42" t="s">
        <v>595</v>
      </c>
      <c r="G113" s="43" t="s">
        <v>601</v>
      </c>
      <c r="H113" s="42">
        <v>40.0</v>
      </c>
      <c r="J113" s="42">
        <v>1.0</v>
      </c>
      <c r="K113" s="42">
        <v>5.0</v>
      </c>
      <c r="L113" s="43" t="s">
        <v>602</v>
      </c>
      <c r="M113" s="44" t="s">
        <v>599</v>
      </c>
      <c r="N113" s="44" t="s">
        <v>599</v>
      </c>
      <c r="O113" s="43" t="s">
        <v>603</v>
      </c>
      <c r="P113" s="42">
        <v>10.0</v>
      </c>
      <c r="Q113" s="45"/>
      <c r="R113" s="45"/>
      <c r="T113" s="47"/>
    </row>
    <row r="114" ht="22.5" customHeight="1">
      <c r="A114" s="40">
        <v>46209.83382869213</v>
      </c>
      <c r="B114" s="41">
        <v>46208.0</v>
      </c>
      <c r="C114" s="42" t="s">
        <v>19</v>
      </c>
      <c r="D114" s="42" t="s">
        <v>21</v>
      </c>
      <c r="E114" s="42" t="s">
        <v>594</v>
      </c>
      <c r="F114" s="42" t="s">
        <v>595</v>
      </c>
      <c r="G114" s="43" t="s">
        <v>604</v>
      </c>
      <c r="H114" s="42">
        <v>38.0</v>
      </c>
      <c r="J114" s="42">
        <v>0.0</v>
      </c>
      <c r="K114" s="42">
        <v>4.0</v>
      </c>
      <c r="L114" s="43" t="s">
        <v>605</v>
      </c>
      <c r="M114" s="42">
        <v>0.0</v>
      </c>
      <c r="N114" s="44" t="s">
        <v>606</v>
      </c>
      <c r="O114" s="43" t="s">
        <v>607</v>
      </c>
      <c r="P114" s="42">
        <v>8.0</v>
      </c>
      <c r="Q114" s="45"/>
      <c r="R114" s="45"/>
      <c r="T114" s="47"/>
    </row>
    <row r="115" ht="22.5" customHeight="1">
      <c r="A115" s="40">
        <v>46209.94295822916</v>
      </c>
      <c r="B115" s="41">
        <v>46209.0</v>
      </c>
      <c r="C115" s="42" t="s">
        <v>19</v>
      </c>
      <c r="D115" s="42" t="s">
        <v>21</v>
      </c>
      <c r="E115" s="42" t="s">
        <v>594</v>
      </c>
      <c r="F115" s="42" t="s">
        <v>595</v>
      </c>
      <c r="G115" s="43" t="s">
        <v>608</v>
      </c>
      <c r="H115" s="42">
        <v>40.0</v>
      </c>
      <c r="J115" s="42">
        <v>1.0</v>
      </c>
      <c r="K115" s="42">
        <v>10.0</v>
      </c>
      <c r="L115" s="43" t="s">
        <v>609</v>
      </c>
      <c r="M115" s="44" t="s">
        <v>610</v>
      </c>
      <c r="N115" s="44" t="s">
        <v>610</v>
      </c>
      <c r="O115" s="43" t="s">
        <v>611</v>
      </c>
      <c r="P115" s="42">
        <v>15.0</v>
      </c>
      <c r="Q115" s="45"/>
      <c r="R115" s="45"/>
      <c r="T115" s="47"/>
    </row>
    <row r="116" ht="22.5" customHeight="1">
      <c r="A116" s="40">
        <v>46210.7528702662</v>
      </c>
      <c r="B116" s="41">
        <v>46210.0</v>
      </c>
      <c r="C116" s="42" t="s">
        <v>19</v>
      </c>
      <c r="D116" s="42" t="s">
        <v>21</v>
      </c>
      <c r="E116" s="42" t="s">
        <v>594</v>
      </c>
      <c r="F116" s="42" t="s">
        <v>612</v>
      </c>
      <c r="G116" s="43" t="s">
        <v>613</v>
      </c>
      <c r="H116" s="42">
        <v>22.0</v>
      </c>
      <c r="J116" s="42">
        <v>0.0</v>
      </c>
      <c r="K116" s="42">
        <v>2.0</v>
      </c>
      <c r="M116" s="42">
        <v>0.0</v>
      </c>
      <c r="N116" s="42">
        <v>0.0</v>
      </c>
      <c r="O116" s="43" t="s">
        <v>614</v>
      </c>
      <c r="P116" s="42">
        <v>15.0</v>
      </c>
      <c r="T116" s="47"/>
    </row>
    <row r="117" ht="22.5" customHeight="1">
      <c r="A117" s="40">
        <v>46204.723923206024</v>
      </c>
      <c r="B117" s="41">
        <v>46204.0</v>
      </c>
      <c r="C117" s="42" t="s">
        <v>16</v>
      </c>
      <c r="D117" s="42" t="s">
        <v>39</v>
      </c>
      <c r="E117" s="42" t="s">
        <v>615</v>
      </c>
      <c r="F117" s="54" t="s">
        <v>616</v>
      </c>
      <c r="G117" s="43" t="s">
        <v>617</v>
      </c>
      <c r="H117" s="42">
        <v>2.0</v>
      </c>
      <c r="J117" s="42">
        <v>2.0</v>
      </c>
      <c r="K117" s="42">
        <v>0.0</v>
      </c>
      <c r="L117" s="43" t="s">
        <v>618</v>
      </c>
      <c r="M117" s="42" t="s">
        <v>619</v>
      </c>
      <c r="N117" s="42">
        <v>0.0</v>
      </c>
      <c r="O117" s="43" t="s">
        <v>620</v>
      </c>
      <c r="P117" s="42">
        <v>2.0</v>
      </c>
      <c r="Q117" s="45"/>
      <c r="R117" s="45"/>
      <c r="S117" s="46"/>
      <c r="T117" s="46"/>
    </row>
    <row r="118" ht="22.5" customHeight="1">
      <c r="A118" s="40">
        <v>46205.724802060184</v>
      </c>
      <c r="B118" s="41">
        <v>46205.0</v>
      </c>
      <c r="C118" s="42" t="s">
        <v>16</v>
      </c>
      <c r="D118" s="42" t="s">
        <v>39</v>
      </c>
      <c r="E118" s="42" t="s">
        <v>615</v>
      </c>
      <c r="F118" s="42" t="s">
        <v>616</v>
      </c>
      <c r="G118" s="43" t="s">
        <v>621</v>
      </c>
      <c r="H118" s="42">
        <v>3.0</v>
      </c>
      <c r="J118" s="42">
        <v>3.0</v>
      </c>
      <c r="K118" s="42">
        <v>0.0</v>
      </c>
      <c r="L118" s="43" t="s">
        <v>622</v>
      </c>
      <c r="M118" s="42" t="s">
        <v>623</v>
      </c>
      <c r="N118" s="42">
        <v>0.0</v>
      </c>
      <c r="O118" s="43" t="s">
        <v>624</v>
      </c>
      <c r="P118" s="42">
        <v>3.0</v>
      </c>
      <c r="Q118" s="45"/>
      <c r="R118" s="45"/>
      <c r="S118" s="46"/>
      <c r="T118" s="46"/>
    </row>
    <row r="119" ht="22.5" customHeight="1">
      <c r="A119" s="40">
        <v>46206.764014976856</v>
      </c>
      <c r="B119" s="41">
        <v>46206.0</v>
      </c>
      <c r="C119" s="42" t="s">
        <v>16</v>
      </c>
      <c r="D119" s="42" t="s">
        <v>39</v>
      </c>
      <c r="E119" s="42" t="s">
        <v>615</v>
      </c>
      <c r="F119" s="42" t="s">
        <v>616</v>
      </c>
      <c r="G119" s="43" t="s">
        <v>625</v>
      </c>
      <c r="H119" s="42">
        <v>2.0</v>
      </c>
      <c r="J119" s="42">
        <v>2.0</v>
      </c>
      <c r="K119" s="42">
        <v>0.0</v>
      </c>
      <c r="L119" s="43" t="s">
        <v>626</v>
      </c>
      <c r="M119" s="42" t="s">
        <v>627</v>
      </c>
      <c r="N119" s="42">
        <v>0.0</v>
      </c>
      <c r="O119" s="43" t="s">
        <v>628</v>
      </c>
      <c r="P119" s="42">
        <v>2.0</v>
      </c>
      <c r="Q119" s="45"/>
      <c r="R119" s="45"/>
      <c r="S119" s="46"/>
      <c r="T119" s="46"/>
    </row>
    <row r="120" ht="22.5" customHeight="1">
      <c r="A120" s="40">
        <v>46209.382237303245</v>
      </c>
      <c r="B120" s="41">
        <v>46207.0</v>
      </c>
      <c r="C120" s="42" t="s">
        <v>16</v>
      </c>
      <c r="D120" s="42" t="s">
        <v>39</v>
      </c>
      <c r="E120" s="42" t="s">
        <v>615</v>
      </c>
      <c r="F120" s="42" t="s">
        <v>616</v>
      </c>
      <c r="G120" s="43" t="s">
        <v>629</v>
      </c>
      <c r="H120" s="42">
        <v>3.0</v>
      </c>
      <c r="J120" s="42">
        <v>3.0</v>
      </c>
      <c r="K120" s="42">
        <v>0.0</v>
      </c>
      <c r="L120" s="43" t="s">
        <v>630</v>
      </c>
      <c r="M120" s="42" t="s">
        <v>631</v>
      </c>
      <c r="N120" s="42">
        <v>0.0</v>
      </c>
      <c r="O120" s="43" t="s">
        <v>632</v>
      </c>
      <c r="P120" s="42">
        <v>3.0</v>
      </c>
      <c r="Q120" s="45"/>
      <c r="R120" s="45"/>
      <c r="S120" s="46"/>
      <c r="T120" s="46"/>
    </row>
    <row r="121" ht="22.5" customHeight="1">
      <c r="A121" s="40">
        <v>46210.97704237269</v>
      </c>
      <c r="B121" s="41">
        <v>46209.0</v>
      </c>
      <c r="C121" s="42" t="s">
        <v>16</v>
      </c>
      <c r="D121" s="42" t="s">
        <v>39</v>
      </c>
      <c r="E121" s="42" t="s">
        <v>615</v>
      </c>
      <c r="F121" s="42" t="s">
        <v>616</v>
      </c>
      <c r="G121" s="43" t="s">
        <v>633</v>
      </c>
      <c r="H121" s="42">
        <v>2.0</v>
      </c>
      <c r="J121" s="42">
        <v>2.0</v>
      </c>
      <c r="K121" s="42">
        <v>0.0</v>
      </c>
      <c r="L121" s="43" t="s">
        <v>634</v>
      </c>
      <c r="M121" s="42" t="s">
        <v>635</v>
      </c>
      <c r="N121" s="42">
        <v>0.0</v>
      </c>
      <c r="O121" s="43" t="s">
        <v>636</v>
      </c>
      <c r="P121" s="42">
        <v>2.0</v>
      </c>
      <c r="T121" s="47"/>
    </row>
    <row r="122" ht="22.5" customHeight="1">
      <c r="A122" s="40">
        <v>46210.978895671295</v>
      </c>
      <c r="B122" s="41">
        <v>46210.0</v>
      </c>
      <c r="C122" s="42" t="s">
        <v>16</v>
      </c>
      <c r="D122" s="42" t="s">
        <v>39</v>
      </c>
      <c r="E122" s="42" t="s">
        <v>615</v>
      </c>
      <c r="F122" s="42" t="s">
        <v>616</v>
      </c>
      <c r="G122" s="43" t="s">
        <v>637</v>
      </c>
      <c r="H122" s="42">
        <v>2.0</v>
      </c>
      <c r="J122" s="42">
        <v>2.0</v>
      </c>
      <c r="K122" s="42">
        <v>0.0</v>
      </c>
      <c r="L122" s="43" t="s">
        <v>638</v>
      </c>
      <c r="M122" s="42" t="s">
        <v>639</v>
      </c>
      <c r="N122" s="42">
        <v>0.0</v>
      </c>
      <c r="O122" s="43" t="s">
        <v>640</v>
      </c>
      <c r="P122" s="42">
        <v>2.0</v>
      </c>
      <c r="T122" s="47"/>
    </row>
    <row r="123" ht="22.5" customHeight="1">
      <c r="A123" s="40">
        <v>46197.51733616898</v>
      </c>
      <c r="B123" s="41">
        <v>46196.0</v>
      </c>
      <c r="C123" s="42" t="s">
        <v>19</v>
      </c>
      <c r="D123" s="42" t="s">
        <v>18</v>
      </c>
      <c r="E123" s="42" t="s">
        <v>641</v>
      </c>
      <c r="F123" s="42" t="s">
        <v>642</v>
      </c>
      <c r="G123" s="43" t="s">
        <v>643</v>
      </c>
      <c r="H123" s="42">
        <v>8.0</v>
      </c>
      <c r="J123" s="42">
        <v>0.0</v>
      </c>
      <c r="K123" s="42">
        <v>0.0</v>
      </c>
      <c r="L123" s="43" t="s">
        <v>644</v>
      </c>
      <c r="M123" s="48" t="s">
        <v>216</v>
      </c>
      <c r="N123" s="48" t="s">
        <v>216</v>
      </c>
      <c r="O123" s="43" t="s">
        <v>645</v>
      </c>
      <c r="P123" s="45"/>
      <c r="Q123" s="45"/>
      <c r="R123" s="45"/>
      <c r="S123" s="46"/>
      <c r="T123" s="46"/>
    </row>
    <row r="124" ht="22.5" customHeight="1">
      <c r="A124" s="40">
        <v>46197.9265572338</v>
      </c>
      <c r="B124" s="41">
        <v>46197.0</v>
      </c>
      <c r="C124" s="42" t="s">
        <v>19</v>
      </c>
      <c r="D124" s="42" t="s">
        <v>18</v>
      </c>
      <c r="E124" s="42" t="s">
        <v>641</v>
      </c>
      <c r="F124" s="42" t="s">
        <v>642</v>
      </c>
      <c r="G124" s="43" t="s">
        <v>646</v>
      </c>
      <c r="H124" s="42">
        <v>17.0</v>
      </c>
      <c r="J124" s="42">
        <v>1.0</v>
      </c>
      <c r="K124" s="42">
        <v>5.0</v>
      </c>
      <c r="L124" s="43" t="s">
        <v>647</v>
      </c>
      <c r="M124" s="49" t="s">
        <v>648</v>
      </c>
      <c r="N124" s="48" t="s">
        <v>649</v>
      </c>
      <c r="O124" s="43" t="s">
        <v>650</v>
      </c>
      <c r="P124" s="42">
        <v>6.0</v>
      </c>
      <c r="Q124" s="45"/>
      <c r="R124" s="45"/>
      <c r="S124" s="46"/>
      <c r="T124" s="46"/>
    </row>
    <row r="125" ht="22.5" customHeight="1">
      <c r="A125" s="40">
        <v>46198.90569958334</v>
      </c>
      <c r="B125" s="41">
        <v>46198.0</v>
      </c>
      <c r="C125" s="42" t="s">
        <v>19</v>
      </c>
      <c r="D125" s="42" t="s">
        <v>18</v>
      </c>
      <c r="E125" s="42" t="s">
        <v>641</v>
      </c>
      <c r="F125" s="42" t="s">
        <v>642</v>
      </c>
      <c r="G125" s="43" t="s">
        <v>651</v>
      </c>
      <c r="H125" s="42">
        <v>17.0</v>
      </c>
      <c r="J125" s="42">
        <v>2.0</v>
      </c>
      <c r="K125" s="42">
        <v>3.0</v>
      </c>
      <c r="L125" s="43" t="s">
        <v>652</v>
      </c>
      <c r="M125" s="51">
        <v>8.58012240890857E22</v>
      </c>
      <c r="N125" s="51">
        <v>8.56411963840858E34</v>
      </c>
      <c r="O125" s="43" t="s">
        <v>653</v>
      </c>
      <c r="P125" s="45"/>
      <c r="Q125" s="45"/>
      <c r="R125" s="45"/>
      <c r="S125" s="46"/>
      <c r="T125" s="46"/>
    </row>
    <row r="126" ht="22.5" customHeight="1">
      <c r="A126" s="40">
        <v>46199.873891967596</v>
      </c>
      <c r="B126" s="41">
        <v>46199.0</v>
      </c>
      <c r="C126" s="42" t="s">
        <v>19</v>
      </c>
      <c r="D126" s="42" t="s">
        <v>18</v>
      </c>
      <c r="E126" s="42" t="s">
        <v>641</v>
      </c>
      <c r="F126" s="42" t="s">
        <v>642</v>
      </c>
      <c r="G126" s="43" t="s">
        <v>654</v>
      </c>
      <c r="H126" s="42">
        <v>28.0</v>
      </c>
      <c r="J126" s="42">
        <v>2.0</v>
      </c>
      <c r="K126" s="42">
        <v>3.0</v>
      </c>
      <c r="L126" s="43" t="s">
        <v>655</v>
      </c>
      <c r="M126" s="51">
        <v>8.58124285870858E22</v>
      </c>
      <c r="N126" s="48" t="s">
        <v>656</v>
      </c>
      <c r="O126" s="43" t="s">
        <v>657</v>
      </c>
      <c r="P126" s="42">
        <v>11.0</v>
      </c>
      <c r="Q126" s="45"/>
      <c r="R126" s="45"/>
      <c r="S126" s="46"/>
      <c r="T126" s="46"/>
    </row>
    <row r="127" ht="22.5" customHeight="1">
      <c r="A127" s="40">
        <v>46200.927824178245</v>
      </c>
      <c r="B127" s="41">
        <v>46200.0</v>
      </c>
      <c r="C127" s="42" t="s">
        <v>19</v>
      </c>
      <c r="D127" s="42" t="s">
        <v>18</v>
      </c>
      <c r="E127" s="42" t="s">
        <v>641</v>
      </c>
      <c r="F127" s="42" t="s">
        <v>642</v>
      </c>
      <c r="G127" s="43" t="s">
        <v>658</v>
      </c>
      <c r="H127" s="42">
        <v>15.0</v>
      </c>
      <c r="J127" s="42">
        <v>6.0</v>
      </c>
      <c r="K127" s="42">
        <v>4.0</v>
      </c>
      <c r="L127" s="43" t="s">
        <v>659</v>
      </c>
      <c r="M127" s="48" t="s">
        <v>660</v>
      </c>
      <c r="N127" s="48" t="s">
        <v>661</v>
      </c>
      <c r="O127" s="43" t="s">
        <v>662</v>
      </c>
      <c r="P127" s="42">
        <v>10.0</v>
      </c>
      <c r="Q127" s="45"/>
      <c r="R127" s="45"/>
      <c r="S127" s="46"/>
      <c r="T127" s="46"/>
    </row>
    <row r="128" ht="22.5" customHeight="1">
      <c r="A128" s="40">
        <v>46202.89898081019</v>
      </c>
      <c r="B128" s="41">
        <v>46202.0</v>
      </c>
      <c r="C128" s="42" t="s">
        <v>19</v>
      </c>
      <c r="D128" s="42" t="s">
        <v>18</v>
      </c>
      <c r="E128" s="42" t="s">
        <v>641</v>
      </c>
      <c r="F128" s="42" t="s">
        <v>642</v>
      </c>
      <c r="G128" s="43" t="s">
        <v>663</v>
      </c>
      <c r="H128" s="42">
        <v>21.0</v>
      </c>
      <c r="J128" s="42">
        <v>4.0</v>
      </c>
      <c r="K128" s="42">
        <v>3.0</v>
      </c>
      <c r="L128" s="43" t="s">
        <v>664</v>
      </c>
      <c r="M128" s="51">
        <v>8.56469134620856E46</v>
      </c>
      <c r="N128" s="48" t="s">
        <v>665</v>
      </c>
      <c r="O128" s="43" t="s">
        <v>666</v>
      </c>
      <c r="P128" s="42">
        <v>3.0</v>
      </c>
      <c r="Q128" s="45"/>
      <c r="R128" s="45"/>
      <c r="S128" s="46"/>
      <c r="T128" s="46"/>
    </row>
    <row r="129" ht="22.5" customHeight="1">
      <c r="A129" s="40">
        <v>46203.913981770835</v>
      </c>
      <c r="B129" s="41">
        <v>46203.0</v>
      </c>
      <c r="C129" s="42" t="s">
        <v>19</v>
      </c>
      <c r="D129" s="42" t="s">
        <v>18</v>
      </c>
      <c r="E129" s="42" t="s">
        <v>641</v>
      </c>
      <c r="F129" s="42" t="s">
        <v>642</v>
      </c>
      <c r="G129" s="43" t="s">
        <v>667</v>
      </c>
      <c r="H129" s="42">
        <v>23.0</v>
      </c>
      <c r="J129" s="42">
        <v>3.0</v>
      </c>
      <c r="K129" s="42">
        <v>4.0</v>
      </c>
      <c r="L129" s="43" t="s">
        <v>668</v>
      </c>
      <c r="M129" s="48" t="s">
        <v>669</v>
      </c>
      <c r="N129" s="48" t="s">
        <v>670</v>
      </c>
      <c r="O129" s="43" t="s">
        <v>671</v>
      </c>
      <c r="P129" s="42">
        <v>7.0</v>
      </c>
      <c r="Q129" s="45"/>
      <c r="R129" s="45"/>
      <c r="S129" s="46"/>
      <c r="T129" s="46"/>
    </row>
    <row r="130" ht="22.5" customHeight="1">
      <c r="A130" s="40">
        <v>46204.88438636574</v>
      </c>
      <c r="B130" s="41">
        <v>46204.0</v>
      </c>
      <c r="C130" s="42" t="s">
        <v>19</v>
      </c>
      <c r="D130" s="42" t="s">
        <v>18</v>
      </c>
      <c r="E130" s="42" t="s">
        <v>641</v>
      </c>
      <c r="F130" s="42" t="s">
        <v>642</v>
      </c>
      <c r="G130" s="43" t="s">
        <v>672</v>
      </c>
      <c r="H130" s="42">
        <v>16.0</v>
      </c>
      <c r="J130" s="42">
        <v>1.0</v>
      </c>
      <c r="K130" s="42">
        <v>3.0</v>
      </c>
      <c r="L130" s="43" t="s">
        <v>673</v>
      </c>
      <c r="M130" s="44" t="s">
        <v>674</v>
      </c>
      <c r="N130" s="42" t="s">
        <v>675</v>
      </c>
      <c r="O130" s="43" t="s">
        <v>676</v>
      </c>
      <c r="P130" s="42">
        <v>13.0</v>
      </c>
      <c r="Q130" s="45"/>
      <c r="R130" s="45"/>
      <c r="S130" s="46"/>
      <c r="T130" s="46"/>
    </row>
    <row r="131" ht="22.5" customHeight="1">
      <c r="A131" s="40">
        <v>46206.09617862268</v>
      </c>
      <c r="B131" s="41">
        <v>46205.0</v>
      </c>
      <c r="C131" s="42" t="s">
        <v>19</v>
      </c>
      <c r="D131" s="42" t="s">
        <v>18</v>
      </c>
      <c r="E131" s="42" t="s">
        <v>641</v>
      </c>
      <c r="F131" s="42" t="s">
        <v>642</v>
      </c>
      <c r="G131" s="43" t="s">
        <v>677</v>
      </c>
      <c r="H131" s="42">
        <v>19.0</v>
      </c>
      <c r="J131" s="42">
        <v>2.0</v>
      </c>
      <c r="K131" s="42">
        <v>0.0</v>
      </c>
      <c r="L131" s="43" t="s">
        <v>678</v>
      </c>
      <c r="M131" s="50">
        <v>8.58420155090858E22</v>
      </c>
      <c r="N131" s="42" t="s">
        <v>216</v>
      </c>
      <c r="O131" s="43" t="s">
        <v>679</v>
      </c>
      <c r="P131" s="42">
        <v>14.0</v>
      </c>
      <c r="Q131" s="45"/>
      <c r="R131" s="45"/>
      <c r="S131" s="46"/>
      <c r="T131" s="46"/>
    </row>
    <row r="132" ht="22.5" customHeight="1">
      <c r="A132" s="40">
        <v>46207.270124918985</v>
      </c>
      <c r="B132" s="41">
        <v>46206.0</v>
      </c>
      <c r="C132" s="42" t="s">
        <v>19</v>
      </c>
      <c r="D132" s="42" t="s">
        <v>18</v>
      </c>
      <c r="E132" s="42" t="s">
        <v>641</v>
      </c>
      <c r="F132" s="42" t="s">
        <v>642</v>
      </c>
      <c r="G132" s="43" t="s">
        <v>680</v>
      </c>
      <c r="H132" s="42">
        <v>30.0</v>
      </c>
      <c r="J132" s="42">
        <v>13.0</v>
      </c>
      <c r="K132" s="42">
        <v>0.0</v>
      </c>
      <c r="L132" s="43" t="s">
        <v>681</v>
      </c>
      <c r="M132" s="50">
        <v>8.58420158730858E154</v>
      </c>
      <c r="N132" s="42" t="s">
        <v>216</v>
      </c>
      <c r="O132" s="43" t="s">
        <v>682</v>
      </c>
      <c r="P132" s="42">
        <v>27.0</v>
      </c>
      <c r="Q132" s="45"/>
      <c r="R132" s="45"/>
      <c r="S132" s="46"/>
      <c r="T132" s="46"/>
    </row>
    <row r="133" ht="22.5" customHeight="1">
      <c r="A133" s="40">
        <v>46209.57741109954</v>
      </c>
      <c r="B133" s="41">
        <v>46207.0</v>
      </c>
      <c r="C133" s="42" t="s">
        <v>19</v>
      </c>
      <c r="D133" s="42" t="s">
        <v>18</v>
      </c>
      <c r="E133" s="42" t="s">
        <v>641</v>
      </c>
      <c r="F133" s="42" t="s">
        <v>642</v>
      </c>
      <c r="G133" s="43" t="s">
        <v>683</v>
      </c>
      <c r="H133" s="42">
        <v>16.0</v>
      </c>
      <c r="J133" s="42">
        <v>2.0</v>
      </c>
      <c r="K133" s="42">
        <v>4.0</v>
      </c>
      <c r="L133" s="43" t="s">
        <v>684</v>
      </c>
      <c r="M133" s="50">
        <v>8.58124286720858E22</v>
      </c>
      <c r="N133" s="50">
        <v>8.95245229290896E46</v>
      </c>
      <c r="O133" s="43" t="s">
        <v>685</v>
      </c>
      <c r="P133" s="42">
        <v>13.0</v>
      </c>
      <c r="Q133" s="45"/>
      <c r="R133" s="45"/>
      <c r="S133" s="46"/>
      <c r="T133" s="46"/>
    </row>
    <row r="134" ht="22.5" customHeight="1">
      <c r="A134" s="40">
        <v>46209.8989771412</v>
      </c>
      <c r="B134" s="41">
        <v>46209.0</v>
      </c>
      <c r="C134" s="42" t="s">
        <v>19</v>
      </c>
      <c r="D134" s="42" t="s">
        <v>18</v>
      </c>
      <c r="E134" s="42" t="s">
        <v>641</v>
      </c>
      <c r="F134" s="42" t="s">
        <v>686</v>
      </c>
      <c r="G134" s="43" t="s">
        <v>687</v>
      </c>
      <c r="H134" s="42">
        <v>18.0</v>
      </c>
      <c r="J134" s="42">
        <v>0.0</v>
      </c>
      <c r="K134" s="42">
        <v>5.0</v>
      </c>
      <c r="L134" s="43" t="s">
        <v>688</v>
      </c>
      <c r="M134" s="42" t="s">
        <v>216</v>
      </c>
      <c r="N134" s="42" t="s">
        <v>689</v>
      </c>
      <c r="O134" s="43" t="s">
        <v>690</v>
      </c>
      <c r="P134" s="42">
        <v>12.0</v>
      </c>
      <c r="Q134" s="45"/>
      <c r="R134" s="45"/>
      <c r="T134" s="47"/>
    </row>
    <row r="135" ht="22.5" customHeight="1">
      <c r="A135" s="40">
        <v>46210.94518446759</v>
      </c>
      <c r="B135" s="41">
        <v>46210.0</v>
      </c>
      <c r="C135" s="42" t="s">
        <v>19</v>
      </c>
      <c r="D135" s="42" t="s">
        <v>18</v>
      </c>
      <c r="E135" s="42" t="s">
        <v>641</v>
      </c>
      <c r="F135" s="42" t="s">
        <v>691</v>
      </c>
      <c r="G135" s="43" t="s">
        <v>692</v>
      </c>
      <c r="H135" s="42">
        <v>21.0</v>
      </c>
      <c r="J135" s="42" t="s">
        <v>216</v>
      </c>
      <c r="K135" s="42">
        <v>3.0</v>
      </c>
      <c r="L135" s="43" t="s">
        <v>693</v>
      </c>
      <c r="M135" s="42">
        <v>0.0</v>
      </c>
      <c r="N135" s="50">
        <v>8.96622020100856E34</v>
      </c>
      <c r="O135" s="43" t="s">
        <v>694</v>
      </c>
      <c r="P135" s="42">
        <v>16.0</v>
      </c>
      <c r="T135" s="47"/>
    </row>
    <row r="136" ht="22.5" customHeight="1">
      <c r="A136" s="40">
        <v>46203.66853077547</v>
      </c>
      <c r="B136" s="41">
        <v>46203.0</v>
      </c>
      <c r="C136" s="42" t="s">
        <v>22</v>
      </c>
      <c r="D136" s="42" t="s">
        <v>31</v>
      </c>
      <c r="E136" s="42" t="s">
        <v>695</v>
      </c>
      <c r="F136" s="42" t="s">
        <v>696</v>
      </c>
      <c r="G136" s="43" t="s">
        <v>697</v>
      </c>
      <c r="H136" s="42">
        <v>21.0</v>
      </c>
      <c r="J136" s="42" t="s">
        <v>216</v>
      </c>
      <c r="K136" s="42">
        <v>2.0</v>
      </c>
      <c r="L136" s="43" t="s">
        <v>698</v>
      </c>
      <c r="M136" s="48" t="s">
        <v>216</v>
      </c>
      <c r="N136" s="48" t="s">
        <v>216</v>
      </c>
      <c r="O136" s="43" t="s">
        <v>699</v>
      </c>
      <c r="P136" s="42">
        <v>8.0</v>
      </c>
      <c r="Q136" s="45"/>
      <c r="R136" s="45"/>
      <c r="S136" s="46"/>
      <c r="T136" s="46"/>
    </row>
    <row r="137" ht="22.5" customHeight="1">
      <c r="A137" s="40">
        <v>46204.70758040509</v>
      </c>
      <c r="B137" s="41">
        <v>46204.0</v>
      </c>
      <c r="C137" s="42" t="s">
        <v>22</v>
      </c>
      <c r="D137" s="42" t="s">
        <v>31</v>
      </c>
      <c r="E137" s="42" t="s">
        <v>700</v>
      </c>
      <c r="F137" s="42" t="s">
        <v>696</v>
      </c>
      <c r="G137" s="43" t="s">
        <v>701</v>
      </c>
      <c r="H137" s="42">
        <v>18.0</v>
      </c>
      <c r="J137" s="42">
        <v>2.0</v>
      </c>
      <c r="K137" s="42">
        <v>2.0</v>
      </c>
      <c r="L137" s="43" t="s">
        <v>702</v>
      </c>
      <c r="M137" s="42" t="s">
        <v>703</v>
      </c>
      <c r="N137" s="42" t="s">
        <v>216</v>
      </c>
      <c r="O137" s="43" t="s">
        <v>704</v>
      </c>
      <c r="P137" s="42">
        <v>3.0</v>
      </c>
      <c r="Q137" s="45"/>
      <c r="R137" s="45"/>
      <c r="S137" s="46"/>
      <c r="T137" s="46"/>
    </row>
    <row r="138" ht="22.5" customHeight="1">
      <c r="A138" s="40">
        <v>46205.66811871528</v>
      </c>
      <c r="B138" s="41">
        <v>46205.0</v>
      </c>
      <c r="C138" s="42" t="s">
        <v>22</v>
      </c>
      <c r="D138" s="42" t="s">
        <v>31</v>
      </c>
      <c r="E138" s="42" t="s">
        <v>700</v>
      </c>
      <c r="F138" s="42" t="s">
        <v>705</v>
      </c>
      <c r="G138" s="43" t="s">
        <v>706</v>
      </c>
      <c r="H138" s="42">
        <v>9.0</v>
      </c>
      <c r="J138" s="42">
        <v>2.0</v>
      </c>
      <c r="K138" s="42">
        <v>1.0</v>
      </c>
      <c r="L138" s="43" t="s">
        <v>707</v>
      </c>
      <c r="M138" s="42" t="s">
        <v>708</v>
      </c>
      <c r="N138" s="44" t="s">
        <v>709</v>
      </c>
      <c r="O138" s="43" t="s">
        <v>710</v>
      </c>
      <c r="P138" s="42">
        <v>4.0</v>
      </c>
      <c r="Q138" s="45"/>
      <c r="R138" s="45"/>
      <c r="S138" s="46"/>
      <c r="T138" s="46"/>
    </row>
    <row r="139" ht="22.5" customHeight="1">
      <c r="A139" s="40">
        <v>46206.66770318287</v>
      </c>
      <c r="B139" s="41">
        <v>46206.0</v>
      </c>
      <c r="C139" s="42" t="s">
        <v>22</v>
      </c>
      <c r="D139" s="42" t="s">
        <v>31</v>
      </c>
      <c r="E139" s="42" t="s">
        <v>700</v>
      </c>
      <c r="F139" s="42" t="s">
        <v>711</v>
      </c>
      <c r="G139" s="43" t="s">
        <v>712</v>
      </c>
      <c r="H139" s="42">
        <v>18.0</v>
      </c>
      <c r="J139" s="42">
        <v>0.0</v>
      </c>
      <c r="K139" s="42">
        <v>1.0</v>
      </c>
      <c r="L139" s="43" t="s">
        <v>713</v>
      </c>
      <c r="M139" s="42" t="s">
        <v>216</v>
      </c>
      <c r="N139" s="44" t="s">
        <v>714</v>
      </c>
      <c r="O139" s="43" t="s">
        <v>715</v>
      </c>
      <c r="P139" s="42">
        <v>1.0</v>
      </c>
      <c r="Q139" s="45"/>
      <c r="R139" s="45"/>
      <c r="S139" s="46"/>
      <c r="T139" s="46"/>
    </row>
    <row r="140" ht="22.5" customHeight="1">
      <c r="A140" s="40">
        <v>46207.67518501157</v>
      </c>
      <c r="B140" s="41">
        <v>46207.0</v>
      </c>
      <c r="C140" s="42" t="s">
        <v>22</v>
      </c>
      <c r="D140" s="42" t="s">
        <v>31</v>
      </c>
      <c r="E140" s="42" t="s">
        <v>700</v>
      </c>
      <c r="F140" s="42" t="s">
        <v>696</v>
      </c>
      <c r="G140" s="43" t="s">
        <v>716</v>
      </c>
      <c r="H140" s="42">
        <v>23.0</v>
      </c>
      <c r="J140" s="42">
        <v>0.0</v>
      </c>
      <c r="K140" s="42">
        <v>2.0</v>
      </c>
      <c r="L140" s="43" t="s">
        <v>717</v>
      </c>
      <c r="M140" s="42" t="s">
        <v>216</v>
      </c>
      <c r="N140" s="42" t="s">
        <v>718</v>
      </c>
      <c r="O140" s="43" t="s">
        <v>719</v>
      </c>
      <c r="P140" s="42">
        <v>2.0</v>
      </c>
      <c r="Q140" s="45"/>
      <c r="R140" s="45"/>
      <c r="S140" s="46"/>
      <c r="T140" s="46"/>
    </row>
    <row r="141" ht="22.5" customHeight="1">
      <c r="A141" s="40">
        <v>46209.69414178241</v>
      </c>
      <c r="B141" s="41">
        <v>46209.0</v>
      </c>
      <c r="C141" s="42" t="s">
        <v>22</v>
      </c>
      <c r="D141" s="42" t="s">
        <v>31</v>
      </c>
      <c r="E141" s="42" t="s">
        <v>700</v>
      </c>
      <c r="F141" s="42" t="s">
        <v>711</v>
      </c>
      <c r="G141" s="43" t="s">
        <v>720</v>
      </c>
      <c r="H141" s="42">
        <v>26.0</v>
      </c>
      <c r="J141" s="42">
        <v>1.0</v>
      </c>
      <c r="K141" s="42">
        <v>0.0</v>
      </c>
      <c r="L141" s="43" t="s">
        <v>721</v>
      </c>
      <c r="M141" s="44" t="s">
        <v>722</v>
      </c>
      <c r="N141" s="42" t="s">
        <v>216</v>
      </c>
      <c r="O141" s="43" t="s">
        <v>723</v>
      </c>
      <c r="P141" s="42">
        <v>3.0</v>
      </c>
      <c r="Q141" s="45"/>
      <c r="R141" s="45"/>
      <c r="T141" s="47"/>
    </row>
    <row r="142" ht="22.5" customHeight="1">
      <c r="A142" s="40">
        <v>46210.690156400466</v>
      </c>
      <c r="B142" s="41">
        <v>46210.0</v>
      </c>
      <c r="C142" s="42" t="s">
        <v>22</v>
      </c>
      <c r="D142" s="42" t="s">
        <v>31</v>
      </c>
      <c r="E142" s="42" t="s">
        <v>700</v>
      </c>
      <c r="F142" s="42" t="s">
        <v>711</v>
      </c>
      <c r="G142" s="43" t="s">
        <v>724</v>
      </c>
      <c r="H142" s="42">
        <v>24.0</v>
      </c>
      <c r="J142" s="42" t="s">
        <v>216</v>
      </c>
      <c r="K142" s="42" t="s">
        <v>216</v>
      </c>
      <c r="L142" s="43" t="s">
        <v>725</v>
      </c>
      <c r="M142" s="42" t="s">
        <v>216</v>
      </c>
      <c r="N142" s="42" t="s">
        <v>216</v>
      </c>
      <c r="O142" s="43" t="s">
        <v>726</v>
      </c>
      <c r="P142" s="42">
        <v>2.0</v>
      </c>
      <c r="T142" s="47"/>
    </row>
    <row r="143" ht="22.5" customHeight="1">
      <c r="A143" s="40">
        <v>46203.94817174769</v>
      </c>
      <c r="B143" s="41">
        <v>46203.0</v>
      </c>
      <c r="C143" s="42" t="s">
        <v>19</v>
      </c>
      <c r="D143" s="42" t="s">
        <v>10</v>
      </c>
      <c r="E143" s="42" t="s">
        <v>727</v>
      </c>
      <c r="F143" s="42" t="s">
        <v>728</v>
      </c>
      <c r="G143" s="43" t="s">
        <v>729</v>
      </c>
      <c r="H143" s="42">
        <v>23.0</v>
      </c>
      <c r="J143" s="42">
        <v>0.0</v>
      </c>
      <c r="K143" s="42">
        <v>0.0</v>
      </c>
      <c r="M143" s="49" t="s">
        <v>730</v>
      </c>
      <c r="N143" s="48">
        <v>0.0</v>
      </c>
      <c r="O143" s="43" t="s">
        <v>731</v>
      </c>
      <c r="P143" s="42">
        <v>1.0</v>
      </c>
      <c r="Q143" s="45"/>
      <c r="R143" s="45"/>
      <c r="S143" s="46"/>
      <c r="T143" s="46"/>
    </row>
    <row r="144" ht="22.5" customHeight="1">
      <c r="A144" s="40">
        <v>46200.938133206015</v>
      </c>
      <c r="B144" s="41">
        <v>31408.0</v>
      </c>
      <c r="C144" s="42" t="s">
        <v>19</v>
      </c>
      <c r="D144" s="42" t="s">
        <v>10</v>
      </c>
      <c r="E144" s="42" t="s">
        <v>727</v>
      </c>
      <c r="F144" s="42" t="s">
        <v>732</v>
      </c>
      <c r="G144" s="43" t="s">
        <v>733</v>
      </c>
      <c r="H144" s="42">
        <v>5.0</v>
      </c>
      <c r="J144" s="42">
        <v>2.0</v>
      </c>
      <c r="K144" s="42" t="s">
        <v>216</v>
      </c>
      <c r="L144" s="43" t="s">
        <v>734</v>
      </c>
      <c r="M144" s="49" t="s">
        <v>735</v>
      </c>
      <c r="N144" s="48" t="s">
        <v>216</v>
      </c>
      <c r="O144" s="43" t="s">
        <v>736</v>
      </c>
      <c r="P144" s="42">
        <v>1.0</v>
      </c>
      <c r="Q144" s="45"/>
      <c r="R144" s="45"/>
      <c r="S144" s="46"/>
      <c r="T144" s="46"/>
    </row>
    <row r="145" ht="22.5" customHeight="1">
      <c r="A145" s="40">
        <v>46201.92771590278</v>
      </c>
      <c r="B145" s="41">
        <v>46201.0</v>
      </c>
      <c r="C145" s="42" t="s">
        <v>19</v>
      </c>
      <c r="D145" s="42" t="s">
        <v>10</v>
      </c>
      <c r="E145" s="42" t="s">
        <v>727</v>
      </c>
      <c r="F145" s="42" t="s">
        <v>737</v>
      </c>
      <c r="G145" s="43" t="s">
        <v>738</v>
      </c>
      <c r="H145" s="42">
        <v>28.0</v>
      </c>
      <c r="J145" s="42">
        <v>1.0</v>
      </c>
      <c r="K145" s="42">
        <v>0.0</v>
      </c>
      <c r="L145" s="43" t="s">
        <v>739</v>
      </c>
      <c r="M145" s="49" t="s">
        <v>740</v>
      </c>
      <c r="N145" s="48">
        <v>0.0</v>
      </c>
      <c r="O145" s="43" t="s">
        <v>741</v>
      </c>
      <c r="P145" s="42">
        <v>1.0</v>
      </c>
      <c r="Q145" s="45"/>
      <c r="R145" s="45"/>
      <c r="S145" s="46"/>
      <c r="T145" s="46"/>
    </row>
    <row r="146" ht="22.5" customHeight="1">
      <c r="A146" s="40">
        <v>46202.93107502315</v>
      </c>
      <c r="B146" s="41">
        <v>46202.0</v>
      </c>
      <c r="C146" s="42" t="s">
        <v>19</v>
      </c>
      <c r="D146" s="42" t="s">
        <v>10</v>
      </c>
      <c r="E146" s="42" t="s">
        <v>727</v>
      </c>
      <c r="F146" s="42" t="s">
        <v>742</v>
      </c>
      <c r="G146" s="43" t="s">
        <v>743</v>
      </c>
      <c r="H146" s="42">
        <v>26.0</v>
      </c>
      <c r="J146" s="42">
        <v>1.0</v>
      </c>
      <c r="K146" s="42">
        <v>0.0</v>
      </c>
      <c r="L146" s="43" t="s">
        <v>744</v>
      </c>
      <c r="M146" s="49" t="s">
        <v>730</v>
      </c>
      <c r="N146" s="48">
        <v>0.0</v>
      </c>
      <c r="O146" s="43" t="s">
        <v>745</v>
      </c>
      <c r="P146" s="42">
        <v>1.0</v>
      </c>
      <c r="Q146" s="45"/>
      <c r="R146" s="45"/>
      <c r="S146" s="46"/>
      <c r="T146" s="46"/>
    </row>
    <row r="147" ht="22.5" customHeight="1">
      <c r="A147" s="40">
        <v>46203.95184730324</v>
      </c>
      <c r="B147" s="41">
        <v>46203.0</v>
      </c>
      <c r="C147" s="42" t="s">
        <v>19</v>
      </c>
      <c r="D147" s="42" t="s">
        <v>10</v>
      </c>
      <c r="E147" s="42" t="s">
        <v>727</v>
      </c>
      <c r="F147" s="42" t="s">
        <v>746</v>
      </c>
      <c r="G147" s="43" t="s">
        <v>747</v>
      </c>
      <c r="H147" s="42">
        <v>28.0</v>
      </c>
      <c r="J147" s="42">
        <v>2.0</v>
      </c>
      <c r="K147" s="42">
        <v>0.0</v>
      </c>
      <c r="L147" s="43" t="s">
        <v>748</v>
      </c>
      <c r="M147" s="49" t="s">
        <v>730</v>
      </c>
      <c r="N147" s="48">
        <v>0.0</v>
      </c>
      <c r="O147" s="43" t="s">
        <v>749</v>
      </c>
      <c r="P147" s="42">
        <v>1.0</v>
      </c>
      <c r="Q147" s="45"/>
      <c r="R147" s="45"/>
      <c r="S147" s="46"/>
      <c r="T147" s="46"/>
    </row>
    <row r="148" ht="22.5" customHeight="1">
      <c r="A148" s="40">
        <v>46204.95808697917</v>
      </c>
      <c r="B148" s="41">
        <v>46204.0</v>
      </c>
      <c r="C148" s="42" t="s">
        <v>19</v>
      </c>
      <c r="D148" s="42" t="s">
        <v>10</v>
      </c>
      <c r="E148" s="42" t="s">
        <v>727</v>
      </c>
      <c r="F148" s="42" t="s">
        <v>750</v>
      </c>
      <c r="G148" s="43" t="s">
        <v>751</v>
      </c>
      <c r="H148" s="42">
        <v>15.0</v>
      </c>
      <c r="J148" s="42">
        <v>1.0</v>
      </c>
      <c r="K148" s="42">
        <v>0.0</v>
      </c>
      <c r="L148" s="43" t="s">
        <v>752</v>
      </c>
      <c r="M148" s="44" t="s">
        <v>753</v>
      </c>
      <c r="N148" s="42">
        <v>0.0</v>
      </c>
      <c r="O148" s="43" t="s">
        <v>754</v>
      </c>
      <c r="P148" s="42">
        <v>5.0</v>
      </c>
      <c r="Q148" s="45"/>
      <c r="R148" s="45"/>
      <c r="S148" s="46"/>
      <c r="T148" s="46"/>
    </row>
    <row r="149" ht="22.5" customHeight="1">
      <c r="A149" s="40">
        <v>46206.01710776621</v>
      </c>
      <c r="B149" s="41">
        <v>46205.0</v>
      </c>
      <c r="C149" s="42" t="s">
        <v>19</v>
      </c>
      <c r="D149" s="42" t="s">
        <v>10</v>
      </c>
      <c r="E149" s="42" t="s">
        <v>727</v>
      </c>
      <c r="F149" s="42" t="s">
        <v>755</v>
      </c>
      <c r="G149" s="43" t="s">
        <v>756</v>
      </c>
      <c r="H149" s="42">
        <v>16.0</v>
      </c>
      <c r="J149" s="42">
        <v>2.0</v>
      </c>
      <c r="K149" s="42">
        <v>0.0</v>
      </c>
      <c r="L149" s="43" t="s">
        <v>757</v>
      </c>
      <c r="M149" s="42" t="s">
        <v>758</v>
      </c>
      <c r="N149" s="42">
        <v>0.0</v>
      </c>
      <c r="O149" s="43" t="s">
        <v>759</v>
      </c>
      <c r="P149" s="42">
        <v>2.0</v>
      </c>
      <c r="Q149" s="45"/>
      <c r="R149" s="45"/>
      <c r="S149" s="46"/>
      <c r="T149" s="46"/>
    </row>
    <row r="150" ht="22.5" customHeight="1">
      <c r="A150" s="40">
        <v>46206.991328703705</v>
      </c>
      <c r="B150" s="41">
        <v>46206.0</v>
      </c>
      <c r="C150" s="42" t="s">
        <v>19</v>
      </c>
      <c r="D150" s="42" t="s">
        <v>10</v>
      </c>
      <c r="E150" s="42" t="s">
        <v>727</v>
      </c>
      <c r="F150" s="42" t="s">
        <v>760</v>
      </c>
      <c r="G150" s="43" t="s">
        <v>761</v>
      </c>
      <c r="H150" s="42">
        <v>8.0</v>
      </c>
      <c r="J150" s="42">
        <v>0.0</v>
      </c>
      <c r="K150" s="42">
        <v>0.0</v>
      </c>
      <c r="L150" s="43" t="s">
        <v>762</v>
      </c>
      <c r="M150" s="42">
        <v>0.0</v>
      </c>
      <c r="N150" s="42">
        <v>0.0</v>
      </c>
      <c r="O150" s="43" t="s">
        <v>763</v>
      </c>
      <c r="P150" s="42">
        <v>0.0</v>
      </c>
      <c r="Q150" s="45"/>
      <c r="R150" s="45"/>
      <c r="S150" s="46"/>
      <c r="T150" s="46"/>
    </row>
    <row r="151" ht="22.5" customHeight="1">
      <c r="A151" s="40">
        <v>46210.323051875</v>
      </c>
      <c r="B151" s="41">
        <v>46209.0</v>
      </c>
      <c r="C151" s="42" t="s">
        <v>19</v>
      </c>
      <c r="D151" s="42" t="s">
        <v>10</v>
      </c>
      <c r="E151" s="42" t="s">
        <v>727</v>
      </c>
      <c r="F151" s="42" t="s">
        <v>760</v>
      </c>
      <c r="G151" s="43" t="s">
        <v>764</v>
      </c>
      <c r="H151" s="42">
        <v>22.0</v>
      </c>
      <c r="J151" s="42">
        <v>5.0</v>
      </c>
      <c r="K151" s="42">
        <v>0.0</v>
      </c>
      <c r="L151" s="43" t="s">
        <v>765</v>
      </c>
      <c r="M151" s="42" t="s">
        <v>766</v>
      </c>
      <c r="N151" s="42">
        <v>0.0</v>
      </c>
      <c r="O151" s="43" t="s">
        <v>767</v>
      </c>
      <c r="P151" s="42">
        <v>9.0</v>
      </c>
      <c r="Q151" s="45"/>
      <c r="R151" s="45"/>
      <c r="T151" s="47"/>
    </row>
    <row r="152" ht="22.5" customHeight="1">
      <c r="A152" s="40">
        <v>46210.32771466435</v>
      </c>
      <c r="B152" s="41">
        <v>46209.0</v>
      </c>
      <c r="C152" s="42" t="s">
        <v>19</v>
      </c>
      <c r="D152" s="42" t="s">
        <v>10</v>
      </c>
      <c r="E152" s="42" t="s">
        <v>727</v>
      </c>
      <c r="F152" s="42" t="s">
        <v>760</v>
      </c>
      <c r="G152" s="43" t="s">
        <v>768</v>
      </c>
      <c r="H152" s="42">
        <v>22.0</v>
      </c>
      <c r="J152" s="42">
        <v>5.0</v>
      </c>
      <c r="K152" s="42">
        <v>0.0</v>
      </c>
      <c r="L152" s="43" t="s">
        <v>769</v>
      </c>
      <c r="M152" s="42" t="s">
        <v>770</v>
      </c>
      <c r="N152" s="42">
        <v>0.0</v>
      </c>
      <c r="O152" s="43" t="s">
        <v>771</v>
      </c>
      <c r="P152" s="42">
        <v>8.0</v>
      </c>
      <c r="Q152" s="45"/>
      <c r="R152" s="45"/>
      <c r="T152" s="47"/>
    </row>
    <row r="153" ht="22.5" customHeight="1">
      <c r="A153" s="40">
        <v>46210.3308630324</v>
      </c>
      <c r="B153" s="41">
        <v>46207.0</v>
      </c>
      <c r="C153" s="42" t="s">
        <v>19</v>
      </c>
      <c r="D153" s="42" t="s">
        <v>10</v>
      </c>
      <c r="E153" s="42" t="s">
        <v>727</v>
      </c>
      <c r="F153" s="42" t="s">
        <v>772</v>
      </c>
      <c r="G153" s="43" t="s">
        <v>773</v>
      </c>
      <c r="H153" s="42">
        <v>18.0</v>
      </c>
      <c r="J153" s="42">
        <v>2.0</v>
      </c>
      <c r="K153" s="42">
        <v>0.0</v>
      </c>
      <c r="L153" s="43" t="s">
        <v>774</v>
      </c>
      <c r="M153" s="42" t="s">
        <v>775</v>
      </c>
      <c r="N153" s="42">
        <v>0.0</v>
      </c>
      <c r="O153" s="43" t="s">
        <v>776</v>
      </c>
      <c r="P153" s="42">
        <v>4.0</v>
      </c>
      <c r="Q153" s="45"/>
      <c r="R153" s="45"/>
      <c r="T153" s="47"/>
    </row>
    <row r="154" ht="22.5" customHeight="1">
      <c r="A154" s="40">
        <v>46210.94923791666</v>
      </c>
      <c r="B154" s="41">
        <v>46210.0</v>
      </c>
      <c r="C154" s="42" t="s">
        <v>19</v>
      </c>
      <c r="D154" s="42" t="s">
        <v>10</v>
      </c>
      <c r="E154" s="42" t="s">
        <v>727</v>
      </c>
      <c r="F154" s="42" t="s">
        <v>777</v>
      </c>
      <c r="G154" s="43" t="s">
        <v>778</v>
      </c>
      <c r="H154" s="42">
        <v>9.0</v>
      </c>
      <c r="J154" s="42">
        <v>2.0</v>
      </c>
      <c r="K154" s="42">
        <v>0.0</v>
      </c>
      <c r="L154" s="43" t="s">
        <v>779</v>
      </c>
      <c r="M154" s="42" t="s">
        <v>780</v>
      </c>
      <c r="N154" s="42">
        <v>0.0</v>
      </c>
      <c r="O154" s="43" t="s">
        <v>781</v>
      </c>
      <c r="P154" s="42">
        <v>2.0</v>
      </c>
      <c r="T154" s="47"/>
    </row>
    <row r="155" ht="22.5" customHeight="1">
      <c r="A155" s="40">
        <v>46204.9019040625</v>
      </c>
      <c r="B155" s="41">
        <v>46204.0</v>
      </c>
      <c r="C155" s="42" t="s">
        <v>19</v>
      </c>
      <c r="D155" s="42" t="s">
        <v>18</v>
      </c>
      <c r="E155" s="42" t="s">
        <v>782</v>
      </c>
      <c r="F155" s="42" t="s">
        <v>783</v>
      </c>
      <c r="G155" s="43" t="s">
        <v>784</v>
      </c>
      <c r="H155" s="42">
        <v>21.0</v>
      </c>
      <c r="J155" s="42">
        <v>1.0</v>
      </c>
      <c r="K155" s="42">
        <v>5.0</v>
      </c>
      <c r="L155" s="43" t="s">
        <v>785</v>
      </c>
      <c r="M155" s="44" t="s">
        <v>786</v>
      </c>
      <c r="N155" s="42" t="s">
        <v>787</v>
      </c>
      <c r="O155" s="43" t="s">
        <v>788</v>
      </c>
      <c r="P155" s="42">
        <v>15.0</v>
      </c>
      <c r="Q155" s="45"/>
      <c r="R155" s="45"/>
      <c r="S155" s="46"/>
      <c r="T155" s="46"/>
    </row>
    <row r="156" ht="22.5" customHeight="1">
      <c r="A156" s="40">
        <v>46205.8459705787</v>
      </c>
      <c r="B156" s="41">
        <v>46205.0</v>
      </c>
      <c r="C156" s="42" t="s">
        <v>19</v>
      </c>
      <c r="D156" s="42" t="s">
        <v>18</v>
      </c>
      <c r="E156" s="42" t="s">
        <v>782</v>
      </c>
      <c r="F156" s="42" t="s">
        <v>789</v>
      </c>
      <c r="G156" s="43" t="s">
        <v>790</v>
      </c>
      <c r="H156" s="42">
        <v>22.0</v>
      </c>
      <c r="J156" s="42">
        <v>1.0</v>
      </c>
      <c r="K156" s="42">
        <v>4.0</v>
      </c>
      <c r="L156" s="43" t="s">
        <v>791</v>
      </c>
      <c r="M156" s="44" t="s">
        <v>792</v>
      </c>
      <c r="N156" s="42" t="s">
        <v>793</v>
      </c>
      <c r="O156" s="43" t="s">
        <v>794</v>
      </c>
      <c r="P156" s="42">
        <v>17.0</v>
      </c>
      <c r="Q156" s="45"/>
      <c r="R156" s="45"/>
      <c r="S156" s="46"/>
      <c r="T156" s="46"/>
    </row>
    <row r="157" ht="22.5" customHeight="1">
      <c r="A157" s="40">
        <v>46206.891613784726</v>
      </c>
      <c r="B157" s="41">
        <v>46206.0</v>
      </c>
      <c r="C157" s="42" t="s">
        <v>19</v>
      </c>
      <c r="D157" s="42" t="s">
        <v>18</v>
      </c>
      <c r="E157" s="42" t="s">
        <v>782</v>
      </c>
      <c r="F157" s="42" t="s">
        <v>789</v>
      </c>
      <c r="G157" s="43" t="s">
        <v>795</v>
      </c>
      <c r="H157" s="42">
        <v>42.0</v>
      </c>
      <c r="J157" s="42">
        <v>0.0</v>
      </c>
      <c r="K157" s="42">
        <v>21.0</v>
      </c>
      <c r="L157" s="43" t="s">
        <v>796</v>
      </c>
      <c r="M157" s="42">
        <v>0.0</v>
      </c>
      <c r="N157" s="42" t="s">
        <v>797</v>
      </c>
      <c r="O157" s="43" t="s">
        <v>798</v>
      </c>
      <c r="P157" s="42">
        <v>21.0</v>
      </c>
      <c r="Q157" s="45"/>
      <c r="R157" s="45"/>
      <c r="S157" s="46"/>
      <c r="T157" s="46"/>
    </row>
    <row r="158" ht="22.5" customHeight="1">
      <c r="A158" s="40">
        <v>46209.61830804398</v>
      </c>
      <c r="B158" s="41">
        <v>46207.0</v>
      </c>
      <c r="C158" s="42" t="s">
        <v>19</v>
      </c>
      <c r="D158" s="42" t="s">
        <v>18</v>
      </c>
      <c r="E158" s="42" t="s">
        <v>782</v>
      </c>
      <c r="F158" s="42" t="s">
        <v>789</v>
      </c>
      <c r="G158" s="43" t="s">
        <v>799</v>
      </c>
      <c r="H158" s="42">
        <v>20.0</v>
      </c>
      <c r="J158" s="42">
        <v>2.0</v>
      </c>
      <c r="K158" s="42">
        <v>3.0</v>
      </c>
      <c r="L158" s="43" t="s">
        <v>800</v>
      </c>
      <c r="M158" s="42" t="s">
        <v>801</v>
      </c>
      <c r="N158" s="42" t="s">
        <v>802</v>
      </c>
      <c r="O158" s="43" t="s">
        <v>803</v>
      </c>
      <c r="P158" s="42">
        <v>15.0</v>
      </c>
      <c r="Q158" s="45"/>
      <c r="R158" s="45"/>
      <c r="S158" s="46"/>
      <c r="T158" s="46"/>
    </row>
    <row r="159" ht="22.5" customHeight="1">
      <c r="A159" s="40">
        <v>46209.9834759375</v>
      </c>
      <c r="B159" s="41">
        <v>46209.0</v>
      </c>
      <c r="C159" s="42" t="s">
        <v>19</v>
      </c>
      <c r="D159" s="42" t="s">
        <v>18</v>
      </c>
      <c r="E159" s="42" t="s">
        <v>782</v>
      </c>
      <c r="F159" s="42" t="s">
        <v>789</v>
      </c>
      <c r="G159" s="43" t="s">
        <v>804</v>
      </c>
      <c r="H159" s="42">
        <v>24.0</v>
      </c>
      <c r="J159" s="42">
        <v>3.0</v>
      </c>
      <c r="K159" s="42">
        <v>5.0</v>
      </c>
      <c r="L159" s="43" t="s">
        <v>805</v>
      </c>
      <c r="M159" s="42" t="s">
        <v>806</v>
      </c>
      <c r="N159" s="42" t="s">
        <v>807</v>
      </c>
      <c r="O159" s="43" t="s">
        <v>808</v>
      </c>
      <c r="P159" s="42">
        <v>16.0</v>
      </c>
      <c r="Q159" s="45"/>
      <c r="R159" s="45"/>
      <c r="T159" s="47"/>
    </row>
    <row r="160" ht="22.5" customHeight="1">
      <c r="A160" s="40">
        <v>46203.721053981484</v>
      </c>
      <c r="B160" s="41">
        <v>46203.0</v>
      </c>
      <c r="C160" s="42" t="s">
        <v>19</v>
      </c>
      <c r="D160" s="42" t="s">
        <v>18</v>
      </c>
      <c r="E160" s="42" t="s">
        <v>782</v>
      </c>
      <c r="F160" s="42" t="s">
        <v>809</v>
      </c>
      <c r="G160" s="43" t="s">
        <v>810</v>
      </c>
      <c r="H160" s="42">
        <v>7.0</v>
      </c>
      <c r="J160" s="42" t="s">
        <v>216</v>
      </c>
      <c r="K160" s="42">
        <v>0.0</v>
      </c>
      <c r="L160" s="43" t="s">
        <v>811</v>
      </c>
      <c r="M160" s="48">
        <v>0.0</v>
      </c>
      <c r="N160" s="48">
        <v>0.0</v>
      </c>
      <c r="O160" s="43" t="s">
        <v>812</v>
      </c>
      <c r="P160" s="42">
        <v>7.0</v>
      </c>
      <c r="Q160" s="45"/>
      <c r="R160" s="45"/>
      <c r="S160" s="46"/>
      <c r="T160" s="46"/>
    </row>
    <row r="161" ht="22.5" customHeight="1">
      <c r="A161" s="40">
        <v>46210.902148402776</v>
      </c>
      <c r="B161" s="41">
        <v>46210.0</v>
      </c>
      <c r="C161" s="42" t="s">
        <v>19</v>
      </c>
      <c r="D161" s="42" t="s">
        <v>18</v>
      </c>
      <c r="E161" s="42" t="s">
        <v>782</v>
      </c>
      <c r="F161" s="42" t="s">
        <v>813</v>
      </c>
      <c r="G161" s="43" t="s">
        <v>814</v>
      </c>
      <c r="H161" s="42">
        <v>32.0</v>
      </c>
      <c r="J161" s="42">
        <v>6.0</v>
      </c>
      <c r="K161" s="42">
        <v>8.0</v>
      </c>
      <c r="L161" s="43" t="s">
        <v>815</v>
      </c>
      <c r="M161" s="42" t="s">
        <v>816</v>
      </c>
      <c r="N161" s="42" t="s">
        <v>817</v>
      </c>
      <c r="O161" s="43" t="s">
        <v>818</v>
      </c>
      <c r="P161" s="42">
        <v>18.0</v>
      </c>
      <c r="T161" s="47"/>
    </row>
    <row r="162" ht="22.5" customHeight="1">
      <c r="A162" s="40">
        <v>46203.743366180555</v>
      </c>
      <c r="B162" s="41">
        <v>46203.0</v>
      </c>
      <c r="C162" s="42" t="s">
        <v>16</v>
      </c>
      <c r="D162" s="42" t="s">
        <v>35</v>
      </c>
      <c r="E162" s="42" t="s">
        <v>819</v>
      </c>
      <c r="F162" s="42" t="s">
        <v>820</v>
      </c>
      <c r="G162" s="43" t="s">
        <v>821</v>
      </c>
      <c r="H162" s="42">
        <v>4.0</v>
      </c>
      <c r="J162" s="42">
        <v>4.0</v>
      </c>
      <c r="K162" s="42">
        <v>2.0</v>
      </c>
      <c r="L162" s="43" t="s">
        <v>822</v>
      </c>
      <c r="M162" s="51">
        <v>8.56029047500856E46</v>
      </c>
      <c r="N162" s="48" t="s">
        <v>823</v>
      </c>
      <c r="O162" s="43" t="s">
        <v>824</v>
      </c>
      <c r="P162" s="42">
        <v>0.0</v>
      </c>
      <c r="Q162" s="45"/>
      <c r="R162" s="45"/>
      <c r="S162" s="46"/>
      <c r="T162" s="46"/>
    </row>
    <row r="163" ht="22.5" customHeight="1">
      <c r="A163" s="40">
        <v>46196.93807965278</v>
      </c>
      <c r="B163" s="41">
        <v>46195.0</v>
      </c>
      <c r="C163" s="42" t="s">
        <v>19</v>
      </c>
      <c r="D163" s="42" t="s">
        <v>10</v>
      </c>
      <c r="E163" s="42" t="s">
        <v>825</v>
      </c>
      <c r="F163" s="42" t="s">
        <v>826</v>
      </c>
      <c r="G163" s="43" t="s">
        <v>827</v>
      </c>
      <c r="H163" s="42">
        <v>2.0</v>
      </c>
      <c r="J163" s="42">
        <v>2.0</v>
      </c>
      <c r="K163" s="42">
        <v>0.0</v>
      </c>
      <c r="L163" s="43" t="s">
        <v>828</v>
      </c>
      <c r="M163" s="48" t="s">
        <v>829</v>
      </c>
      <c r="N163" s="48">
        <v>0.0</v>
      </c>
      <c r="O163" s="43" t="s">
        <v>830</v>
      </c>
      <c r="P163" s="42">
        <v>2.0</v>
      </c>
      <c r="Q163" s="45"/>
      <c r="R163" s="45"/>
      <c r="S163" s="46"/>
      <c r="T163" s="46"/>
    </row>
    <row r="164" ht="22.5" customHeight="1">
      <c r="A164" s="40">
        <v>46197.936685023145</v>
      </c>
      <c r="B164" s="41">
        <v>46197.0</v>
      </c>
      <c r="C164" s="42" t="s">
        <v>19</v>
      </c>
      <c r="D164" s="42" t="s">
        <v>10</v>
      </c>
      <c r="E164" s="42" t="s">
        <v>825</v>
      </c>
      <c r="F164" s="42" t="s">
        <v>826</v>
      </c>
      <c r="G164" s="43" t="s">
        <v>831</v>
      </c>
      <c r="H164" s="42">
        <v>6.0</v>
      </c>
      <c r="J164" s="42">
        <v>4.0</v>
      </c>
      <c r="K164" s="42">
        <v>0.0</v>
      </c>
      <c r="L164" s="43" t="s">
        <v>832</v>
      </c>
      <c r="M164" s="48" t="s">
        <v>833</v>
      </c>
      <c r="N164" s="48">
        <v>0.0</v>
      </c>
      <c r="O164" s="43" t="s">
        <v>834</v>
      </c>
      <c r="P164" s="42">
        <v>4.0</v>
      </c>
      <c r="Q164" s="45"/>
      <c r="R164" s="45"/>
      <c r="S164" s="46"/>
      <c r="T164" s="46"/>
    </row>
    <row r="165" ht="22.5" customHeight="1">
      <c r="A165" s="40">
        <v>46198.94747112269</v>
      </c>
      <c r="B165" s="41">
        <v>46198.0</v>
      </c>
      <c r="C165" s="42" t="s">
        <v>19</v>
      </c>
      <c r="D165" s="42" t="s">
        <v>10</v>
      </c>
      <c r="E165" s="42" t="s">
        <v>835</v>
      </c>
      <c r="F165" s="42" t="s">
        <v>826</v>
      </c>
      <c r="G165" s="43" t="s">
        <v>836</v>
      </c>
      <c r="H165" s="42">
        <v>10.0</v>
      </c>
      <c r="J165" s="42">
        <v>2.0</v>
      </c>
      <c r="K165" s="42">
        <v>0.0</v>
      </c>
      <c r="L165" s="43" t="s">
        <v>837</v>
      </c>
      <c r="M165" s="48" t="s">
        <v>838</v>
      </c>
      <c r="N165" s="48">
        <v>0.0</v>
      </c>
      <c r="O165" s="43" t="s">
        <v>839</v>
      </c>
      <c r="P165" s="42">
        <v>2.0</v>
      </c>
      <c r="Q165" s="45"/>
      <c r="R165" s="45"/>
      <c r="S165" s="46"/>
      <c r="T165" s="46"/>
    </row>
    <row r="166" ht="22.5" customHeight="1">
      <c r="A166" s="40">
        <v>46200.957992337964</v>
      </c>
      <c r="B166" s="41">
        <v>46200.0</v>
      </c>
      <c r="C166" s="42" t="s">
        <v>19</v>
      </c>
      <c r="D166" s="42" t="s">
        <v>10</v>
      </c>
      <c r="E166" s="42" t="s">
        <v>835</v>
      </c>
      <c r="F166" s="42" t="s">
        <v>840</v>
      </c>
      <c r="G166" s="43" t="s">
        <v>841</v>
      </c>
      <c r="H166" s="42">
        <v>20.0</v>
      </c>
      <c r="J166" s="42">
        <v>6.0</v>
      </c>
      <c r="K166" s="42">
        <v>0.0</v>
      </c>
      <c r="L166" s="43" t="s">
        <v>842</v>
      </c>
      <c r="M166" s="48" t="s">
        <v>843</v>
      </c>
      <c r="N166" s="48">
        <v>0.0</v>
      </c>
      <c r="O166" s="43" t="s">
        <v>844</v>
      </c>
      <c r="P166" s="42">
        <v>6.0</v>
      </c>
      <c r="Q166" s="45"/>
      <c r="R166" s="45"/>
      <c r="S166" s="46"/>
      <c r="T166" s="46"/>
    </row>
    <row r="167" ht="22.5" customHeight="1">
      <c r="A167" s="40">
        <v>46203.94975901621</v>
      </c>
      <c r="B167" s="41">
        <v>46202.0</v>
      </c>
      <c r="C167" s="42" t="s">
        <v>19</v>
      </c>
      <c r="D167" s="42" t="s">
        <v>10</v>
      </c>
      <c r="E167" s="42" t="s">
        <v>825</v>
      </c>
      <c r="F167" s="42" t="s">
        <v>826</v>
      </c>
      <c r="G167" s="43" t="s">
        <v>845</v>
      </c>
      <c r="H167" s="42">
        <v>16.0</v>
      </c>
      <c r="J167" s="42">
        <v>0.0</v>
      </c>
      <c r="K167" s="42">
        <v>0.0</v>
      </c>
      <c r="L167" s="43" t="s">
        <v>846</v>
      </c>
      <c r="M167" s="48" t="s">
        <v>847</v>
      </c>
      <c r="N167" s="48">
        <v>0.0</v>
      </c>
      <c r="O167" s="43" t="s">
        <v>848</v>
      </c>
      <c r="P167" s="42">
        <v>5.0</v>
      </c>
      <c r="Q167" s="45"/>
      <c r="R167" s="45"/>
      <c r="S167" s="46"/>
      <c r="T167" s="46"/>
    </row>
    <row r="168" ht="22.5" customHeight="1">
      <c r="A168" s="40">
        <v>46203.953897534724</v>
      </c>
      <c r="B168" s="41">
        <v>46203.0</v>
      </c>
      <c r="C168" s="42" t="s">
        <v>19</v>
      </c>
      <c r="D168" s="42" t="s">
        <v>10</v>
      </c>
      <c r="E168" s="42" t="s">
        <v>835</v>
      </c>
      <c r="F168" s="42" t="s">
        <v>826</v>
      </c>
      <c r="G168" s="43" t="s">
        <v>849</v>
      </c>
      <c r="H168" s="42">
        <v>14.0</v>
      </c>
      <c r="J168" s="42">
        <v>0.0</v>
      </c>
      <c r="K168" s="42">
        <v>0.0</v>
      </c>
      <c r="L168" s="43" t="s">
        <v>850</v>
      </c>
      <c r="M168" s="48" t="s">
        <v>851</v>
      </c>
      <c r="N168" s="48">
        <v>0.0</v>
      </c>
      <c r="O168" s="43" t="s">
        <v>852</v>
      </c>
      <c r="P168" s="42">
        <v>3.0</v>
      </c>
      <c r="Q168" s="45"/>
      <c r="R168" s="45"/>
      <c r="S168" s="46"/>
      <c r="T168" s="46"/>
    </row>
    <row r="169" ht="22.5" customHeight="1">
      <c r="A169" s="40">
        <v>46204.86566821759</v>
      </c>
      <c r="B169" s="41">
        <v>46233.0</v>
      </c>
      <c r="C169" s="42" t="s">
        <v>19</v>
      </c>
      <c r="D169" s="42" t="s">
        <v>10</v>
      </c>
      <c r="E169" s="42" t="s">
        <v>835</v>
      </c>
      <c r="F169" s="42" t="s">
        <v>853</v>
      </c>
      <c r="G169" s="43" t="s">
        <v>854</v>
      </c>
      <c r="H169" s="42">
        <v>21.0</v>
      </c>
      <c r="J169" s="42">
        <v>4.0</v>
      </c>
      <c r="K169" s="42">
        <v>0.0</v>
      </c>
      <c r="L169" s="43" t="s">
        <v>855</v>
      </c>
      <c r="M169" s="42" t="s">
        <v>856</v>
      </c>
      <c r="N169" s="42">
        <v>0.0</v>
      </c>
      <c r="O169" s="43" t="s">
        <v>857</v>
      </c>
      <c r="P169" s="42">
        <v>4.0</v>
      </c>
      <c r="Q169" s="45"/>
      <c r="R169" s="45"/>
      <c r="S169" s="46"/>
      <c r="T169" s="46"/>
    </row>
    <row r="170" ht="22.5" customHeight="1">
      <c r="A170" s="40">
        <v>46206.94801900463</v>
      </c>
      <c r="B170" s="41">
        <v>46205.0</v>
      </c>
      <c r="C170" s="42" t="s">
        <v>19</v>
      </c>
      <c r="D170" s="42" t="s">
        <v>10</v>
      </c>
      <c r="E170" s="42" t="s">
        <v>835</v>
      </c>
      <c r="F170" s="42" t="s">
        <v>826</v>
      </c>
      <c r="G170" s="43" t="s">
        <v>858</v>
      </c>
      <c r="H170" s="42">
        <v>17.0</v>
      </c>
      <c r="J170" s="42">
        <v>4.0</v>
      </c>
      <c r="K170" s="42">
        <v>0.0</v>
      </c>
      <c r="L170" s="43" t="s">
        <v>859</v>
      </c>
      <c r="M170" s="42" t="s">
        <v>860</v>
      </c>
      <c r="N170" s="42">
        <v>0.0</v>
      </c>
      <c r="O170" s="43" t="s">
        <v>861</v>
      </c>
      <c r="P170" s="42">
        <v>4.0</v>
      </c>
      <c r="Q170" s="45"/>
      <c r="R170" s="45"/>
      <c r="S170" s="46"/>
      <c r="T170" s="46"/>
    </row>
    <row r="171" ht="22.5" customHeight="1">
      <c r="A171" s="40">
        <v>46206.95244378472</v>
      </c>
      <c r="B171" s="41">
        <v>46206.0</v>
      </c>
      <c r="C171" s="42" t="s">
        <v>19</v>
      </c>
      <c r="D171" s="42" t="s">
        <v>10</v>
      </c>
      <c r="E171" s="42" t="s">
        <v>835</v>
      </c>
      <c r="F171" s="42" t="s">
        <v>862</v>
      </c>
      <c r="G171" s="43" t="s">
        <v>863</v>
      </c>
      <c r="H171" s="42">
        <v>19.0</v>
      </c>
      <c r="J171" s="42">
        <v>4.0</v>
      </c>
      <c r="K171" s="42">
        <v>0.0</v>
      </c>
      <c r="L171" s="43" t="s">
        <v>864</v>
      </c>
      <c r="M171" s="42" t="s">
        <v>865</v>
      </c>
      <c r="N171" s="42">
        <v>0.0</v>
      </c>
      <c r="O171" s="43" t="s">
        <v>866</v>
      </c>
      <c r="P171" s="42">
        <v>4.0</v>
      </c>
      <c r="Q171" s="45"/>
      <c r="R171" s="45"/>
      <c r="S171" s="46"/>
      <c r="T171" s="46"/>
    </row>
    <row r="172" ht="22.5" customHeight="1">
      <c r="A172" s="40">
        <v>46209.942227638894</v>
      </c>
      <c r="B172" s="41">
        <v>46207.0</v>
      </c>
      <c r="C172" s="42" t="s">
        <v>19</v>
      </c>
      <c r="D172" s="42" t="s">
        <v>10</v>
      </c>
      <c r="E172" s="42" t="s">
        <v>825</v>
      </c>
      <c r="F172" s="42" t="s">
        <v>862</v>
      </c>
      <c r="G172" s="43" t="s">
        <v>867</v>
      </c>
      <c r="H172" s="42">
        <v>19.0</v>
      </c>
      <c r="J172" s="42">
        <v>5.0</v>
      </c>
      <c r="K172" s="42">
        <v>0.0</v>
      </c>
      <c r="L172" s="43" t="s">
        <v>868</v>
      </c>
      <c r="M172" s="42" t="s">
        <v>869</v>
      </c>
      <c r="N172" s="42">
        <v>0.0</v>
      </c>
      <c r="O172" s="43" t="s">
        <v>870</v>
      </c>
      <c r="P172" s="42">
        <v>5.0</v>
      </c>
      <c r="Q172" s="45"/>
      <c r="R172" s="45"/>
      <c r="T172" s="47"/>
    </row>
    <row r="173" ht="22.5" customHeight="1">
      <c r="A173" s="40">
        <v>46210.34555068287</v>
      </c>
      <c r="B173" s="41">
        <v>46209.0</v>
      </c>
      <c r="C173" s="42" t="s">
        <v>19</v>
      </c>
      <c r="D173" s="42" t="s">
        <v>10</v>
      </c>
      <c r="E173" s="42" t="s">
        <v>835</v>
      </c>
      <c r="F173" s="42" t="s">
        <v>862</v>
      </c>
      <c r="G173" s="43" t="s">
        <v>871</v>
      </c>
      <c r="H173" s="42">
        <v>15.0</v>
      </c>
      <c r="J173" s="42">
        <v>2.0</v>
      </c>
      <c r="K173" s="42">
        <v>0.0</v>
      </c>
      <c r="L173" s="43" t="s">
        <v>872</v>
      </c>
      <c r="M173" s="42" t="s">
        <v>873</v>
      </c>
      <c r="N173" s="42">
        <v>0.0</v>
      </c>
      <c r="O173" s="43" t="s">
        <v>874</v>
      </c>
      <c r="P173" s="42">
        <v>2.0</v>
      </c>
      <c r="Q173" s="45"/>
      <c r="R173" s="45"/>
      <c r="T173" s="47"/>
    </row>
    <row r="174" ht="22.5" customHeight="1">
      <c r="A174" s="40">
        <v>46210.95040394676</v>
      </c>
      <c r="B174" s="41">
        <v>46210.0</v>
      </c>
      <c r="C174" s="42" t="s">
        <v>19</v>
      </c>
      <c r="D174" s="42" t="s">
        <v>10</v>
      </c>
      <c r="E174" s="42" t="s">
        <v>835</v>
      </c>
      <c r="F174" s="42" t="s">
        <v>875</v>
      </c>
      <c r="G174" s="43" t="s">
        <v>876</v>
      </c>
      <c r="H174" s="42">
        <v>17.0</v>
      </c>
      <c r="J174" s="42">
        <v>1.0</v>
      </c>
      <c r="K174" s="42">
        <v>0.0</v>
      </c>
      <c r="L174" s="43" t="s">
        <v>877</v>
      </c>
      <c r="M174" s="44" t="s">
        <v>878</v>
      </c>
      <c r="N174" s="42">
        <v>0.0</v>
      </c>
      <c r="O174" s="43" t="s">
        <v>879</v>
      </c>
      <c r="P174" s="42">
        <v>1.0</v>
      </c>
      <c r="T174" s="47"/>
    </row>
    <row r="175" ht="22.5" customHeight="1">
      <c r="A175" s="40">
        <v>46205.83986753473</v>
      </c>
      <c r="B175" s="41">
        <v>46205.0</v>
      </c>
      <c r="C175" s="42" t="s">
        <v>19</v>
      </c>
      <c r="D175" s="42" t="s">
        <v>18</v>
      </c>
      <c r="E175" s="42" t="s">
        <v>880</v>
      </c>
      <c r="F175" s="42" t="s">
        <v>881</v>
      </c>
      <c r="G175" s="43" t="s">
        <v>882</v>
      </c>
      <c r="H175" s="42">
        <v>20.0</v>
      </c>
      <c r="J175" s="42">
        <v>1.0</v>
      </c>
      <c r="K175" s="42">
        <v>3.0</v>
      </c>
      <c r="L175" s="43" t="s">
        <v>883</v>
      </c>
      <c r="M175" s="44" t="s">
        <v>884</v>
      </c>
      <c r="N175" s="50">
        <v>8.15683475660895E34</v>
      </c>
      <c r="O175" s="43" t="s">
        <v>885</v>
      </c>
      <c r="P175" s="42">
        <v>12.0</v>
      </c>
      <c r="Q175" s="45"/>
      <c r="R175" s="45"/>
      <c r="S175" s="46"/>
      <c r="T175" s="46"/>
    </row>
    <row r="176" ht="22.5" customHeight="1">
      <c r="A176" s="40">
        <v>46203.79543540509</v>
      </c>
      <c r="B176" s="41">
        <v>46203.0</v>
      </c>
      <c r="C176" s="42" t="s">
        <v>19</v>
      </c>
      <c r="D176" s="42" t="s">
        <v>18</v>
      </c>
      <c r="E176" s="42" t="s">
        <v>880</v>
      </c>
      <c r="F176" s="42" t="s">
        <v>881</v>
      </c>
      <c r="G176" s="43" t="s">
        <v>886</v>
      </c>
      <c r="H176" s="42">
        <v>20.0</v>
      </c>
      <c r="J176" s="42" t="s">
        <v>216</v>
      </c>
      <c r="K176" s="42">
        <v>3.0</v>
      </c>
      <c r="L176" s="43" t="s">
        <v>887</v>
      </c>
      <c r="M176" s="48" t="s">
        <v>216</v>
      </c>
      <c r="N176" s="48" t="s">
        <v>216</v>
      </c>
      <c r="O176" s="43" t="s">
        <v>888</v>
      </c>
      <c r="P176" s="42">
        <v>0.0</v>
      </c>
      <c r="Q176" s="45"/>
      <c r="R176" s="45"/>
      <c r="S176" s="46"/>
      <c r="T176" s="46"/>
    </row>
    <row r="177" ht="22.5" customHeight="1">
      <c r="A177" s="40">
        <v>46203.895073113425</v>
      </c>
      <c r="B177" s="41">
        <v>46203.0</v>
      </c>
      <c r="C177" s="42" t="s">
        <v>19</v>
      </c>
      <c r="D177" s="42" t="s">
        <v>18</v>
      </c>
      <c r="E177" s="42" t="s">
        <v>880</v>
      </c>
      <c r="F177" s="42" t="s">
        <v>881</v>
      </c>
      <c r="G177" s="43" t="s">
        <v>889</v>
      </c>
      <c r="H177" s="42">
        <v>20.0</v>
      </c>
      <c r="J177" s="42">
        <v>0.0</v>
      </c>
      <c r="K177" s="42">
        <v>3.0</v>
      </c>
      <c r="L177" s="43" t="s">
        <v>890</v>
      </c>
      <c r="M177" s="48" t="s">
        <v>216</v>
      </c>
      <c r="N177" s="48" t="s">
        <v>216</v>
      </c>
      <c r="O177" s="43" t="s">
        <v>891</v>
      </c>
      <c r="S177" s="47"/>
      <c r="T177" s="47"/>
    </row>
    <row r="178" ht="22.5" customHeight="1">
      <c r="A178" s="40">
        <v>46204.92338305556</v>
      </c>
      <c r="B178" s="41">
        <v>46204.0</v>
      </c>
      <c r="C178" s="42" t="s">
        <v>19</v>
      </c>
      <c r="D178" s="42" t="s">
        <v>18</v>
      </c>
      <c r="E178" s="42" t="s">
        <v>880</v>
      </c>
      <c r="F178" s="42" t="s">
        <v>881</v>
      </c>
      <c r="G178" s="43" t="s">
        <v>892</v>
      </c>
      <c r="H178" s="42">
        <v>20.0</v>
      </c>
      <c r="J178" s="42">
        <v>5.0</v>
      </c>
      <c r="K178" s="42">
        <v>11.0</v>
      </c>
      <c r="L178" s="43" t="s">
        <v>893</v>
      </c>
      <c r="M178" s="42" t="s">
        <v>894</v>
      </c>
      <c r="N178" s="50">
        <v>8.56277372208564E131</v>
      </c>
      <c r="O178" s="43" t="s">
        <v>895</v>
      </c>
      <c r="P178" s="42">
        <v>16.0</v>
      </c>
      <c r="Q178" s="45"/>
      <c r="R178" s="45"/>
      <c r="S178" s="46"/>
      <c r="T178" s="46"/>
    </row>
    <row r="179" ht="22.5" customHeight="1">
      <c r="A179" s="40">
        <v>46206.99947791667</v>
      </c>
      <c r="B179" s="41">
        <v>46206.0</v>
      </c>
      <c r="C179" s="42" t="s">
        <v>19</v>
      </c>
      <c r="D179" s="42" t="s">
        <v>18</v>
      </c>
      <c r="E179" s="42" t="s">
        <v>880</v>
      </c>
      <c r="F179" s="54" t="s">
        <v>881</v>
      </c>
      <c r="G179" s="43" t="s">
        <v>896</v>
      </c>
      <c r="H179" s="42">
        <v>20.0</v>
      </c>
      <c r="J179" s="42">
        <v>20.0</v>
      </c>
      <c r="K179" s="42">
        <v>0.0</v>
      </c>
      <c r="L179" s="43" t="s">
        <v>897</v>
      </c>
      <c r="M179" s="50">
        <v>8.58420154950857E238</v>
      </c>
      <c r="N179" s="42">
        <v>0.0</v>
      </c>
      <c r="O179" s="43" t="s">
        <v>898</v>
      </c>
      <c r="P179" s="42">
        <v>20.0</v>
      </c>
      <c r="Q179" s="45"/>
      <c r="R179" s="45"/>
      <c r="S179" s="46"/>
      <c r="T179" s="46"/>
    </row>
    <row r="180" ht="22.5" customHeight="1">
      <c r="A180" s="40">
        <v>46209.387364594906</v>
      </c>
      <c r="B180" s="41">
        <v>46207.0</v>
      </c>
      <c r="C180" s="42" t="s">
        <v>19</v>
      </c>
      <c r="D180" s="42" t="s">
        <v>18</v>
      </c>
      <c r="E180" s="42" t="s">
        <v>880</v>
      </c>
      <c r="F180" s="42" t="s">
        <v>881</v>
      </c>
      <c r="G180" s="43" t="s">
        <v>899</v>
      </c>
      <c r="H180" s="42">
        <v>20.0</v>
      </c>
      <c r="J180" s="42">
        <v>12.0</v>
      </c>
      <c r="K180" s="42">
        <v>10.0</v>
      </c>
      <c r="L180" s="43" t="s">
        <v>900</v>
      </c>
      <c r="M180" s="50">
        <v>8.57429399760085E143</v>
      </c>
      <c r="N180" s="50">
        <v>8.56415230120895E118</v>
      </c>
      <c r="O180" s="43" t="s">
        <v>901</v>
      </c>
      <c r="P180" s="42">
        <v>14.0</v>
      </c>
      <c r="Q180" s="45"/>
      <c r="R180" s="45"/>
      <c r="S180" s="46"/>
      <c r="T180" s="46"/>
    </row>
    <row r="181" ht="22.5" customHeight="1">
      <c r="A181" s="40">
        <v>46210.00468787037</v>
      </c>
      <c r="B181" s="41">
        <v>46209.0</v>
      </c>
      <c r="C181" s="42" t="s">
        <v>19</v>
      </c>
      <c r="D181" s="42" t="s">
        <v>18</v>
      </c>
      <c r="E181" s="42" t="s">
        <v>880</v>
      </c>
      <c r="F181" s="42" t="s">
        <v>881</v>
      </c>
      <c r="G181" s="43" t="s">
        <v>902</v>
      </c>
      <c r="H181" s="42">
        <v>20.0</v>
      </c>
      <c r="J181" s="42">
        <v>4.0</v>
      </c>
      <c r="K181" s="42">
        <v>7.0</v>
      </c>
      <c r="L181" s="43" t="s">
        <v>903</v>
      </c>
      <c r="M181" s="42">
        <v>4.0</v>
      </c>
      <c r="N181" s="50">
        <v>8.95403146998089E85</v>
      </c>
      <c r="O181" s="43" t="s">
        <v>904</v>
      </c>
      <c r="P181" s="42">
        <v>13.0</v>
      </c>
      <c r="Q181" s="45"/>
      <c r="R181" s="45"/>
      <c r="T181" s="47"/>
    </row>
    <row r="182" ht="22.5" customHeight="1">
      <c r="A182" s="40">
        <v>46210.97524284723</v>
      </c>
      <c r="B182" s="41">
        <v>46210.0</v>
      </c>
      <c r="C182" s="42" t="s">
        <v>19</v>
      </c>
      <c r="D182" s="42" t="s">
        <v>18</v>
      </c>
      <c r="E182" s="42" t="s">
        <v>880</v>
      </c>
      <c r="F182" s="42" t="s">
        <v>881</v>
      </c>
      <c r="G182" s="43" t="s">
        <v>905</v>
      </c>
      <c r="H182" s="42">
        <v>23.0</v>
      </c>
      <c r="J182" s="42">
        <v>2.0</v>
      </c>
      <c r="K182" s="42">
        <v>8.0</v>
      </c>
      <c r="L182" s="43" t="s">
        <v>906</v>
      </c>
      <c r="M182" s="50">
        <v>8.57911732500857E22</v>
      </c>
      <c r="N182" s="50">
        <v>8.15886008508952E91</v>
      </c>
      <c r="O182" s="43" t="s">
        <v>907</v>
      </c>
      <c r="P182" s="42">
        <v>13.0</v>
      </c>
      <c r="T182" s="47"/>
    </row>
    <row r="183" ht="22.5" customHeight="1">
      <c r="A183" s="40">
        <v>46202.76055104166</v>
      </c>
      <c r="B183" s="41">
        <v>46202.0</v>
      </c>
      <c r="C183" s="42" t="s">
        <v>19</v>
      </c>
      <c r="D183" s="42" t="s">
        <v>18</v>
      </c>
      <c r="E183" s="42" t="s">
        <v>908</v>
      </c>
      <c r="F183" s="42" t="s">
        <v>909</v>
      </c>
      <c r="G183" s="43" t="s">
        <v>910</v>
      </c>
      <c r="H183" s="42">
        <v>20.0</v>
      </c>
      <c r="J183" s="42">
        <v>0.0</v>
      </c>
      <c r="K183" s="42">
        <v>5.0</v>
      </c>
      <c r="L183" s="43" t="s">
        <v>911</v>
      </c>
      <c r="M183" s="48">
        <v>0.0</v>
      </c>
      <c r="N183" s="48" t="s">
        <v>912</v>
      </c>
      <c r="O183" s="43" t="s">
        <v>913</v>
      </c>
      <c r="P183" s="42">
        <v>5.0</v>
      </c>
      <c r="Q183" s="45"/>
      <c r="R183" s="45"/>
      <c r="S183" s="46"/>
      <c r="T183" s="46"/>
    </row>
    <row r="184" ht="22.5" customHeight="1">
      <c r="A184" s="40">
        <v>46209.8898590625</v>
      </c>
      <c r="B184" s="41">
        <v>46209.0</v>
      </c>
      <c r="C184" s="42" t="s">
        <v>19</v>
      </c>
      <c r="D184" s="42" t="s">
        <v>18</v>
      </c>
      <c r="E184" s="42" t="s">
        <v>908</v>
      </c>
      <c r="F184" s="42" t="s">
        <v>914</v>
      </c>
      <c r="G184" s="43" t="s">
        <v>915</v>
      </c>
      <c r="H184" s="42">
        <v>25.0</v>
      </c>
      <c r="J184" s="42">
        <v>3.0</v>
      </c>
      <c r="K184" s="42">
        <v>10.0</v>
      </c>
      <c r="L184" s="43" t="s">
        <v>916</v>
      </c>
      <c r="M184" s="42" t="s">
        <v>917</v>
      </c>
      <c r="N184" s="42" t="s">
        <v>918</v>
      </c>
      <c r="O184" s="43" t="s">
        <v>919</v>
      </c>
      <c r="P184" s="42">
        <v>14.0</v>
      </c>
      <c r="Q184" s="45"/>
      <c r="R184" s="45"/>
      <c r="T184" s="47"/>
    </row>
    <row r="185" ht="22.5" customHeight="1">
      <c r="A185" s="40">
        <v>46198.90429579861</v>
      </c>
      <c r="B185" s="41">
        <v>46198.0</v>
      </c>
      <c r="C185" s="42" t="s">
        <v>19</v>
      </c>
      <c r="D185" s="42" t="s">
        <v>18</v>
      </c>
      <c r="E185" s="42" t="s">
        <v>908</v>
      </c>
      <c r="F185" s="42" t="s">
        <v>920</v>
      </c>
      <c r="G185" s="43" t="s">
        <v>921</v>
      </c>
      <c r="H185" s="42">
        <v>10.0</v>
      </c>
      <c r="J185" s="42">
        <v>0.0</v>
      </c>
      <c r="K185" s="42">
        <v>0.0</v>
      </c>
      <c r="M185" s="48">
        <v>0.0</v>
      </c>
      <c r="N185" s="48">
        <v>0.0</v>
      </c>
      <c r="O185" s="43" t="s">
        <v>922</v>
      </c>
      <c r="P185" s="45"/>
      <c r="Q185" s="45"/>
      <c r="R185" s="45"/>
      <c r="S185" s="46"/>
      <c r="T185" s="46"/>
    </row>
    <row r="186" ht="22.5" customHeight="1">
      <c r="A186" s="40">
        <v>46199.805667002314</v>
      </c>
      <c r="B186" s="41">
        <v>46199.0</v>
      </c>
      <c r="C186" s="42" t="s">
        <v>19</v>
      </c>
      <c r="D186" s="42" t="s">
        <v>18</v>
      </c>
      <c r="E186" s="42" t="s">
        <v>908</v>
      </c>
      <c r="F186" s="42" t="s">
        <v>923</v>
      </c>
      <c r="G186" s="43" t="s">
        <v>924</v>
      </c>
      <c r="H186" s="42">
        <v>50.0</v>
      </c>
      <c r="J186" s="42">
        <v>8.0</v>
      </c>
      <c r="K186" s="42">
        <v>0.0</v>
      </c>
      <c r="L186" s="55" t="s">
        <v>925</v>
      </c>
      <c r="M186" s="48" t="s">
        <v>926</v>
      </c>
      <c r="N186" s="48">
        <v>0.0</v>
      </c>
      <c r="O186" s="43" t="s">
        <v>927</v>
      </c>
      <c r="P186" s="45"/>
      <c r="Q186" s="45"/>
      <c r="R186" s="45"/>
      <c r="S186" s="46"/>
      <c r="T186" s="46"/>
    </row>
    <row r="187" ht="22.5" customHeight="1">
      <c r="A187" s="40">
        <v>46200.66319634259</v>
      </c>
      <c r="B187" s="41">
        <v>46200.0</v>
      </c>
      <c r="C187" s="42" t="s">
        <v>19</v>
      </c>
      <c r="D187" s="42" t="s">
        <v>18</v>
      </c>
      <c r="E187" s="42" t="s">
        <v>908</v>
      </c>
      <c r="F187" s="42" t="s">
        <v>928</v>
      </c>
      <c r="G187" s="43" t="s">
        <v>929</v>
      </c>
      <c r="H187" s="42">
        <v>20.0</v>
      </c>
      <c r="J187" s="42">
        <v>8.0</v>
      </c>
      <c r="K187" s="42">
        <v>0.0</v>
      </c>
      <c r="L187" s="43" t="s">
        <v>930</v>
      </c>
      <c r="M187" s="48" t="s">
        <v>931</v>
      </c>
      <c r="N187" s="48">
        <v>0.0</v>
      </c>
      <c r="O187" s="43" t="s">
        <v>932</v>
      </c>
      <c r="P187" s="42">
        <v>8.0</v>
      </c>
      <c r="Q187" s="45"/>
      <c r="R187" s="45"/>
      <c r="S187" s="46"/>
      <c r="T187" s="46"/>
    </row>
    <row r="188" ht="22.5" customHeight="1">
      <c r="A188" s="40">
        <v>46203.89729653935</v>
      </c>
      <c r="B188" s="41">
        <v>46203.0</v>
      </c>
      <c r="C188" s="42" t="s">
        <v>19</v>
      </c>
      <c r="D188" s="42" t="s">
        <v>18</v>
      </c>
      <c r="E188" s="42" t="s">
        <v>908</v>
      </c>
      <c r="F188" s="42" t="s">
        <v>909</v>
      </c>
      <c r="G188" s="43" t="s">
        <v>933</v>
      </c>
      <c r="H188" s="42">
        <v>25.0</v>
      </c>
      <c r="J188" s="42">
        <v>2.0</v>
      </c>
      <c r="K188" s="42">
        <v>2.0</v>
      </c>
      <c r="L188" s="43" t="s">
        <v>934</v>
      </c>
      <c r="M188" s="48" t="s">
        <v>935</v>
      </c>
      <c r="N188" s="48" t="s">
        <v>936</v>
      </c>
      <c r="O188" s="43" t="s">
        <v>937</v>
      </c>
      <c r="P188" s="42">
        <v>4.0</v>
      </c>
      <c r="Q188" s="45"/>
      <c r="R188" s="45"/>
      <c r="S188" s="46"/>
      <c r="T188" s="46"/>
    </row>
    <row r="189" ht="22.5" customHeight="1">
      <c r="A189" s="40">
        <v>46204.885813981484</v>
      </c>
      <c r="B189" s="41">
        <v>46204.0</v>
      </c>
      <c r="C189" s="42" t="s">
        <v>19</v>
      </c>
      <c r="D189" s="42" t="s">
        <v>18</v>
      </c>
      <c r="E189" s="42" t="s">
        <v>908</v>
      </c>
      <c r="F189" s="42" t="s">
        <v>914</v>
      </c>
      <c r="G189" s="43" t="s">
        <v>938</v>
      </c>
      <c r="H189" s="42">
        <v>15.0</v>
      </c>
      <c r="J189" s="42">
        <v>1.0</v>
      </c>
      <c r="K189" s="42">
        <v>7.0</v>
      </c>
      <c r="L189" s="43" t="s">
        <v>939</v>
      </c>
      <c r="M189" s="44" t="s">
        <v>940</v>
      </c>
      <c r="N189" s="42" t="s">
        <v>941</v>
      </c>
      <c r="O189" s="43" t="s">
        <v>942</v>
      </c>
      <c r="P189" s="42">
        <v>10.0</v>
      </c>
      <c r="Q189" s="45"/>
      <c r="R189" s="45"/>
      <c r="S189" s="46"/>
      <c r="T189" s="46"/>
    </row>
    <row r="190" ht="22.5" customHeight="1">
      <c r="A190" s="40">
        <v>46205.80257097222</v>
      </c>
      <c r="B190" s="41">
        <v>46205.0</v>
      </c>
      <c r="C190" s="42" t="s">
        <v>19</v>
      </c>
      <c r="D190" s="42" t="s">
        <v>18</v>
      </c>
      <c r="E190" s="42" t="s">
        <v>908</v>
      </c>
      <c r="F190" s="42" t="s">
        <v>943</v>
      </c>
      <c r="G190" s="43" t="s">
        <v>944</v>
      </c>
      <c r="H190" s="42">
        <v>30.0</v>
      </c>
      <c r="J190" s="42">
        <v>3.0</v>
      </c>
      <c r="K190" s="42">
        <v>0.0</v>
      </c>
      <c r="L190" s="43" t="s">
        <v>945</v>
      </c>
      <c r="M190" s="42" t="s">
        <v>946</v>
      </c>
      <c r="N190" s="42">
        <v>0.0</v>
      </c>
      <c r="O190" s="43" t="s">
        <v>947</v>
      </c>
      <c r="P190" s="42">
        <v>20.0</v>
      </c>
      <c r="Q190" s="45"/>
      <c r="R190" s="45"/>
      <c r="S190" s="46"/>
      <c r="T190" s="46"/>
    </row>
    <row r="191" ht="22.5" customHeight="1">
      <c r="A191" s="40">
        <v>46206.77389545139</v>
      </c>
      <c r="B191" s="41">
        <v>46206.0</v>
      </c>
      <c r="C191" s="42" t="s">
        <v>19</v>
      </c>
      <c r="D191" s="42" t="s">
        <v>18</v>
      </c>
      <c r="E191" s="42" t="s">
        <v>908</v>
      </c>
      <c r="F191" s="42" t="s">
        <v>948</v>
      </c>
      <c r="G191" s="43" t="s">
        <v>949</v>
      </c>
      <c r="H191" s="42">
        <v>50.0</v>
      </c>
      <c r="J191" s="42">
        <v>14.0</v>
      </c>
      <c r="K191" s="42">
        <v>2.0</v>
      </c>
      <c r="L191" s="43" t="s">
        <v>950</v>
      </c>
      <c r="M191" s="42" t="s">
        <v>951</v>
      </c>
      <c r="N191" s="42" t="s">
        <v>952</v>
      </c>
      <c r="O191" s="43" t="s">
        <v>953</v>
      </c>
      <c r="P191" s="42">
        <v>30.0</v>
      </c>
      <c r="Q191" s="45"/>
      <c r="R191" s="45"/>
      <c r="S191" s="46"/>
      <c r="T191" s="46"/>
    </row>
    <row r="192" ht="22.5" customHeight="1">
      <c r="A192" s="40">
        <v>46209.64617825231</v>
      </c>
      <c r="B192" s="41">
        <v>46207.0</v>
      </c>
      <c r="C192" s="42" t="s">
        <v>19</v>
      </c>
      <c r="D192" s="42" t="s">
        <v>18</v>
      </c>
      <c r="E192" s="42" t="s">
        <v>908</v>
      </c>
      <c r="F192" s="42" t="s">
        <v>914</v>
      </c>
      <c r="G192" s="43" t="s">
        <v>954</v>
      </c>
      <c r="H192" s="42">
        <v>20.0</v>
      </c>
      <c r="J192" s="42">
        <v>6.0</v>
      </c>
      <c r="K192" s="42">
        <v>7.0</v>
      </c>
      <c r="L192" s="43" t="s">
        <v>955</v>
      </c>
      <c r="M192" s="42" t="s">
        <v>956</v>
      </c>
      <c r="N192" s="42" t="s">
        <v>957</v>
      </c>
      <c r="O192" s="43" t="s">
        <v>958</v>
      </c>
      <c r="P192" s="42">
        <v>15.0</v>
      </c>
      <c r="Q192" s="45"/>
      <c r="R192" s="45"/>
      <c r="S192" s="46"/>
      <c r="T192" s="46"/>
    </row>
    <row r="193" ht="22.5" customHeight="1">
      <c r="A193" s="40">
        <v>46210.905444386575</v>
      </c>
      <c r="B193" s="41">
        <v>46210.0</v>
      </c>
      <c r="C193" s="42" t="s">
        <v>19</v>
      </c>
      <c r="D193" s="42" t="s">
        <v>18</v>
      </c>
      <c r="E193" s="42" t="s">
        <v>908</v>
      </c>
      <c r="F193" s="42" t="s">
        <v>914</v>
      </c>
      <c r="G193" s="43" t="s">
        <v>959</v>
      </c>
      <c r="H193" s="42">
        <v>15.0</v>
      </c>
      <c r="J193" s="42">
        <v>0.0</v>
      </c>
      <c r="K193" s="42">
        <v>6.0</v>
      </c>
      <c r="L193" s="43" t="s">
        <v>960</v>
      </c>
      <c r="M193" s="42">
        <v>0.0</v>
      </c>
      <c r="N193" s="42" t="s">
        <v>961</v>
      </c>
      <c r="O193" s="43" t="s">
        <v>962</v>
      </c>
      <c r="P193" s="42">
        <v>7.0</v>
      </c>
      <c r="T193" s="47"/>
    </row>
    <row r="194" ht="22.5" customHeight="1">
      <c r="A194" s="40">
        <v>46204.92554599537</v>
      </c>
      <c r="B194" s="41">
        <v>46204.0</v>
      </c>
      <c r="C194" s="42" t="s">
        <v>22</v>
      </c>
      <c r="D194" s="42" t="s">
        <v>29</v>
      </c>
      <c r="E194" s="42" t="s">
        <v>963</v>
      </c>
      <c r="F194" s="42" t="s">
        <v>964</v>
      </c>
      <c r="G194" s="43" t="s">
        <v>965</v>
      </c>
      <c r="H194" s="42">
        <v>20.0</v>
      </c>
      <c r="J194" s="42">
        <v>0.0</v>
      </c>
      <c r="K194" s="42">
        <v>4.0</v>
      </c>
      <c r="L194" s="43" t="s">
        <v>966</v>
      </c>
      <c r="M194" s="42">
        <v>0.0</v>
      </c>
      <c r="N194" s="42" t="s">
        <v>967</v>
      </c>
      <c r="O194" s="43" t="s">
        <v>968</v>
      </c>
      <c r="P194" s="42">
        <v>3.0</v>
      </c>
      <c r="Q194" s="45"/>
      <c r="R194" s="45"/>
      <c r="S194" s="46"/>
      <c r="T194" s="46"/>
    </row>
    <row r="195" ht="22.5" customHeight="1">
      <c r="A195" s="40">
        <v>46205.733835011575</v>
      </c>
      <c r="B195" s="41">
        <v>46205.0</v>
      </c>
      <c r="C195" s="42" t="s">
        <v>22</v>
      </c>
      <c r="D195" s="42" t="s">
        <v>29</v>
      </c>
      <c r="E195" s="42" t="s">
        <v>963</v>
      </c>
      <c r="F195" s="42" t="s">
        <v>964</v>
      </c>
      <c r="G195" s="43" t="s">
        <v>969</v>
      </c>
      <c r="H195" s="42">
        <v>36.0</v>
      </c>
      <c r="J195" s="42">
        <v>0.0</v>
      </c>
      <c r="K195" s="42">
        <v>1.0</v>
      </c>
      <c r="L195" s="43" t="s">
        <v>970</v>
      </c>
      <c r="M195" s="42">
        <v>0.0</v>
      </c>
      <c r="N195" s="42" t="s">
        <v>971</v>
      </c>
      <c r="O195" s="43" t="s">
        <v>972</v>
      </c>
      <c r="P195" s="42">
        <v>2.0</v>
      </c>
      <c r="Q195" s="45"/>
      <c r="R195" s="45"/>
      <c r="S195" s="46"/>
      <c r="T195" s="46"/>
    </row>
    <row r="196" ht="22.5" customHeight="1">
      <c r="A196" s="40">
        <v>46206.83189054398</v>
      </c>
      <c r="B196" s="41">
        <v>46206.0</v>
      </c>
      <c r="C196" s="42" t="s">
        <v>22</v>
      </c>
      <c r="D196" s="42" t="s">
        <v>29</v>
      </c>
      <c r="E196" s="42" t="s">
        <v>963</v>
      </c>
      <c r="F196" s="42" t="s">
        <v>964</v>
      </c>
      <c r="G196" s="43" t="s">
        <v>973</v>
      </c>
      <c r="H196" s="42">
        <v>25.0</v>
      </c>
      <c r="J196" s="42">
        <v>0.0</v>
      </c>
      <c r="K196" s="42">
        <v>5.0</v>
      </c>
      <c r="L196" s="43" t="s">
        <v>974</v>
      </c>
      <c r="M196" s="42">
        <v>0.0</v>
      </c>
      <c r="N196" s="44" t="s">
        <v>975</v>
      </c>
      <c r="O196" s="43" t="s">
        <v>976</v>
      </c>
      <c r="P196" s="42">
        <v>12.0</v>
      </c>
      <c r="Q196" s="45"/>
      <c r="R196" s="45"/>
      <c r="S196" s="46"/>
      <c r="T196" s="46"/>
    </row>
    <row r="197" ht="22.5" customHeight="1">
      <c r="A197" s="40">
        <v>46209.60588575232</v>
      </c>
      <c r="B197" s="41">
        <v>46207.0</v>
      </c>
      <c r="C197" s="42" t="s">
        <v>22</v>
      </c>
      <c r="D197" s="42" t="s">
        <v>29</v>
      </c>
      <c r="E197" s="42" t="s">
        <v>963</v>
      </c>
      <c r="F197" s="42" t="s">
        <v>964</v>
      </c>
      <c r="G197" s="43" t="s">
        <v>977</v>
      </c>
      <c r="H197" s="42">
        <v>28.0</v>
      </c>
      <c r="J197" s="42">
        <v>0.0</v>
      </c>
      <c r="K197" s="42">
        <v>0.0</v>
      </c>
      <c r="L197" s="43" t="s">
        <v>978</v>
      </c>
      <c r="M197" s="42">
        <v>0.0</v>
      </c>
      <c r="N197" s="42">
        <v>0.0</v>
      </c>
      <c r="O197" s="43" t="s">
        <v>979</v>
      </c>
      <c r="P197" s="42">
        <v>9.0</v>
      </c>
      <c r="Q197" s="45"/>
      <c r="R197" s="45"/>
      <c r="S197" s="46"/>
      <c r="T197" s="46"/>
    </row>
    <row r="198" ht="22.5" customHeight="1">
      <c r="A198" s="40">
        <v>46209.81634962963</v>
      </c>
      <c r="B198" s="41">
        <v>46209.0</v>
      </c>
      <c r="C198" s="42" t="s">
        <v>22</v>
      </c>
      <c r="D198" s="42" t="s">
        <v>29</v>
      </c>
      <c r="E198" s="42" t="s">
        <v>963</v>
      </c>
      <c r="F198" s="42" t="s">
        <v>964</v>
      </c>
      <c r="G198" s="43" t="s">
        <v>980</v>
      </c>
      <c r="H198" s="42">
        <v>32.0</v>
      </c>
      <c r="J198" s="42">
        <v>1.0</v>
      </c>
      <c r="K198" s="42">
        <v>5.0</v>
      </c>
      <c r="L198" s="43" t="s">
        <v>981</v>
      </c>
      <c r="M198" s="44" t="s">
        <v>982</v>
      </c>
      <c r="N198" s="42" t="s">
        <v>983</v>
      </c>
      <c r="O198" s="43" t="s">
        <v>984</v>
      </c>
      <c r="P198" s="42">
        <v>11.0</v>
      </c>
      <c r="Q198" s="45"/>
      <c r="R198" s="45"/>
      <c r="T198" s="47"/>
    </row>
    <row r="199" ht="22.5" customHeight="1">
      <c r="A199" s="40">
        <v>46210.854200925925</v>
      </c>
      <c r="B199" s="41">
        <v>46210.0</v>
      </c>
      <c r="C199" s="42" t="s">
        <v>22</v>
      </c>
      <c r="D199" s="42" t="s">
        <v>29</v>
      </c>
      <c r="E199" s="42" t="s">
        <v>963</v>
      </c>
      <c r="F199" s="42" t="s">
        <v>964</v>
      </c>
      <c r="G199" s="43" t="s">
        <v>985</v>
      </c>
      <c r="H199" s="42">
        <v>28.0</v>
      </c>
      <c r="J199" s="42">
        <v>0.0</v>
      </c>
      <c r="K199" s="42">
        <v>5.0</v>
      </c>
      <c r="L199" s="43" t="s">
        <v>986</v>
      </c>
      <c r="M199" s="42">
        <v>0.0</v>
      </c>
      <c r="N199" s="42" t="s">
        <v>987</v>
      </c>
      <c r="O199" s="43" t="s">
        <v>988</v>
      </c>
      <c r="P199" s="42">
        <v>7.0</v>
      </c>
      <c r="T199" s="47"/>
    </row>
    <row r="200" ht="22.5" customHeight="1">
      <c r="A200" s="40">
        <v>46202.718372766205</v>
      </c>
      <c r="B200" s="41">
        <v>46202.0</v>
      </c>
      <c r="C200" s="42" t="s">
        <v>22</v>
      </c>
      <c r="D200" s="42" t="s">
        <v>31</v>
      </c>
      <c r="E200" s="42" t="s">
        <v>989</v>
      </c>
      <c r="F200" s="42" t="s">
        <v>696</v>
      </c>
      <c r="G200" s="43" t="s">
        <v>990</v>
      </c>
      <c r="H200" s="42">
        <v>1.0</v>
      </c>
      <c r="J200" s="42" t="s">
        <v>216</v>
      </c>
      <c r="K200" s="42" t="s">
        <v>216</v>
      </c>
      <c r="L200" s="43" t="s">
        <v>991</v>
      </c>
      <c r="M200" s="48" t="s">
        <v>216</v>
      </c>
      <c r="N200" s="48" t="s">
        <v>216</v>
      </c>
      <c r="O200" s="43" t="s">
        <v>992</v>
      </c>
      <c r="P200" s="45"/>
      <c r="Q200" s="45"/>
      <c r="R200" s="45"/>
      <c r="S200" s="46"/>
      <c r="T200" s="46"/>
    </row>
    <row r="201" ht="22.5" customHeight="1">
      <c r="A201" s="40">
        <v>46204.808384421296</v>
      </c>
      <c r="B201" s="41">
        <v>46204.0</v>
      </c>
      <c r="C201" s="42" t="s">
        <v>22</v>
      </c>
      <c r="D201" s="42" t="s">
        <v>26</v>
      </c>
      <c r="E201" s="42" t="s">
        <v>993</v>
      </c>
      <c r="F201" s="42" t="s">
        <v>994</v>
      </c>
      <c r="G201" s="43" t="s">
        <v>995</v>
      </c>
      <c r="H201" s="42">
        <v>13.0</v>
      </c>
      <c r="J201" s="42">
        <v>4.0</v>
      </c>
      <c r="K201" s="42">
        <v>3.0</v>
      </c>
      <c r="L201" s="43" t="s">
        <v>996</v>
      </c>
      <c r="M201" s="42" t="s">
        <v>997</v>
      </c>
      <c r="N201" s="42" t="s">
        <v>998</v>
      </c>
      <c r="O201" s="43" t="s">
        <v>999</v>
      </c>
      <c r="P201" s="42">
        <v>0.0</v>
      </c>
      <c r="Q201" s="45"/>
      <c r="R201" s="45"/>
      <c r="S201" s="46"/>
      <c r="T201" s="46"/>
    </row>
    <row r="202" ht="22.5" customHeight="1">
      <c r="A202" s="40">
        <v>46205.934453483795</v>
      </c>
      <c r="B202" s="41">
        <v>46205.0</v>
      </c>
      <c r="C202" s="42" t="s">
        <v>22</v>
      </c>
      <c r="D202" s="42" t="s">
        <v>26</v>
      </c>
      <c r="E202" s="42" t="s">
        <v>993</v>
      </c>
      <c r="F202" s="42" t="s">
        <v>994</v>
      </c>
      <c r="G202" s="43" t="s">
        <v>1000</v>
      </c>
      <c r="H202" s="42">
        <v>9.0</v>
      </c>
      <c r="J202" s="42">
        <v>3.0</v>
      </c>
      <c r="K202" s="42">
        <v>9.0</v>
      </c>
      <c r="L202" s="43" t="s">
        <v>1001</v>
      </c>
      <c r="M202" s="42" t="s">
        <v>1002</v>
      </c>
      <c r="N202" s="42" t="s">
        <v>1003</v>
      </c>
      <c r="O202" s="43" t="s">
        <v>1004</v>
      </c>
      <c r="P202" s="42">
        <v>1.0</v>
      </c>
      <c r="Q202" s="45"/>
      <c r="R202" s="45"/>
      <c r="S202" s="46"/>
      <c r="T202" s="46"/>
    </row>
    <row r="203" ht="22.5" customHeight="1">
      <c r="A203" s="40">
        <v>46206.88173201389</v>
      </c>
      <c r="B203" s="41">
        <v>46206.0</v>
      </c>
      <c r="C203" s="42" t="s">
        <v>22</v>
      </c>
      <c r="D203" s="42" t="s">
        <v>26</v>
      </c>
      <c r="E203" s="42" t="s">
        <v>1005</v>
      </c>
      <c r="F203" s="42" t="s">
        <v>994</v>
      </c>
      <c r="G203" s="43" t="s">
        <v>1006</v>
      </c>
      <c r="H203" s="42">
        <v>11.0</v>
      </c>
      <c r="J203" s="42">
        <v>0.0</v>
      </c>
      <c r="K203" s="42">
        <v>6.0</v>
      </c>
      <c r="L203" s="43" t="s">
        <v>1007</v>
      </c>
      <c r="M203" s="42" t="s">
        <v>216</v>
      </c>
      <c r="N203" s="42" t="s">
        <v>1008</v>
      </c>
      <c r="O203" s="43" t="s">
        <v>1009</v>
      </c>
      <c r="P203" s="42">
        <v>0.0</v>
      </c>
      <c r="Q203" s="45"/>
      <c r="R203" s="45"/>
      <c r="S203" s="46"/>
      <c r="T203" s="46"/>
    </row>
    <row r="204" ht="22.5" customHeight="1">
      <c r="A204" s="40">
        <v>46207.71775098379</v>
      </c>
      <c r="B204" s="41">
        <v>46207.0</v>
      </c>
      <c r="C204" s="42" t="s">
        <v>22</v>
      </c>
      <c r="D204" s="42" t="s">
        <v>26</v>
      </c>
      <c r="E204" s="42" t="s">
        <v>1010</v>
      </c>
      <c r="F204" s="42" t="s">
        <v>1011</v>
      </c>
      <c r="G204" s="43" t="s">
        <v>1012</v>
      </c>
      <c r="H204" s="42">
        <v>9.0</v>
      </c>
      <c r="J204" s="42">
        <v>2.0</v>
      </c>
      <c r="K204" s="42">
        <v>7.0</v>
      </c>
      <c r="L204" s="43" t="s">
        <v>1013</v>
      </c>
      <c r="M204" s="42" t="s">
        <v>1014</v>
      </c>
      <c r="N204" s="42" t="s">
        <v>1015</v>
      </c>
      <c r="O204" s="43" t="s">
        <v>1016</v>
      </c>
      <c r="P204" s="42">
        <v>1.0</v>
      </c>
      <c r="Q204" s="45"/>
      <c r="R204" s="45"/>
      <c r="S204" s="46"/>
      <c r="T204" s="46"/>
    </row>
    <row r="205" ht="22.5" customHeight="1">
      <c r="A205" s="40">
        <v>46209.46939962963</v>
      </c>
      <c r="B205" s="41">
        <v>46208.0</v>
      </c>
      <c r="C205" s="42" t="s">
        <v>22</v>
      </c>
      <c r="D205" s="42" t="s">
        <v>26</v>
      </c>
      <c r="E205" s="42" t="s">
        <v>1010</v>
      </c>
      <c r="F205" s="42" t="s">
        <v>1011</v>
      </c>
      <c r="G205" s="43" t="s">
        <v>1017</v>
      </c>
      <c r="H205" s="42">
        <v>8.0</v>
      </c>
      <c r="J205" s="42">
        <v>1.0</v>
      </c>
      <c r="K205" s="42">
        <v>3.0</v>
      </c>
      <c r="L205" s="43" t="s">
        <v>1018</v>
      </c>
      <c r="M205" s="44" t="s">
        <v>1019</v>
      </c>
      <c r="N205" s="42" t="s">
        <v>1020</v>
      </c>
      <c r="O205" s="43" t="s">
        <v>1021</v>
      </c>
      <c r="P205" s="42">
        <v>0.0</v>
      </c>
      <c r="Q205" s="45"/>
      <c r="R205" s="45"/>
      <c r="S205" s="46"/>
      <c r="T205" s="46"/>
    </row>
    <row r="206" ht="22.5" customHeight="1">
      <c r="A206" s="40">
        <v>46209.79096809028</v>
      </c>
      <c r="B206" s="41">
        <v>46209.0</v>
      </c>
      <c r="C206" s="42" t="s">
        <v>22</v>
      </c>
      <c r="D206" s="42" t="s">
        <v>26</v>
      </c>
      <c r="E206" s="42" t="s">
        <v>1010</v>
      </c>
      <c r="F206" s="42" t="s">
        <v>1011</v>
      </c>
      <c r="G206" s="43" t="s">
        <v>1022</v>
      </c>
      <c r="H206" s="42">
        <v>11.0</v>
      </c>
      <c r="J206" s="42">
        <v>1.0</v>
      </c>
      <c r="K206" s="42">
        <v>13.0</v>
      </c>
      <c r="L206" s="43" t="s">
        <v>1023</v>
      </c>
      <c r="M206" s="44" t="s">
        <v>1024</v>
      </c>
      <c r="N206" s="42" t="s">
        <v>1025</v>
      </c>
      <c r="O206" s="43" t="s">
        <v>1026</v>
      </c>
      <c r="P206" s="42">
        <v>0.0</v>
      </c>
      <c r="Q206" s="45"/>
      <c r="R206" s="45"/>
      <c r="T206" s="47"/>
    </row>
    <row r="207" ht="22.5" customHeight="1">
      <c r="A207" s="40">
        <v>46204.7497905787</v>
      </c>
      <c r="B207" s="41">
        <v>46204.0</v>
      </c>
      <c r="C207" s="42" t="s">
        <v>19</v>
      </c>
      <c r="D207" s="42" t="s">
        <v>10</v>
      </c>
      <c r="E207" s="42" t="s">
        <v>1027</v>
      </c>
      <c r="F207" s="56" t="s">
        <v>826</v>
      </c>
      <c r="G207" s="43" t="s">
        <v>1028</v>
      </c>
      <c r="H207" s="42">
        <v>25.0</v>
      </c>
      <c r="J207" s="42">
        <v>2.0</v>
      </c>
      <c r="K207" s="42">
        <v>2.0</v>
      </c>
      <c r="L207" s="43" t="s">
        <v>1029</v>
      </c>
      <c r="M207" s="44" t="s">
        <v>1030</v>
      </c>
      <c r="N207" s="44" t="s">
        <v>1031</v>
      </c>
      <c r="O207" s="43" t="s">
        <v>1032</v>
      </c>
      <c r="P207" s="42">
        <v>2.0</v>
      </c>
      <c r="Q207" s="45"/>
      <c r="R207" s="45"/>
      <c r="S207" s="46"/>
      <c r="T207" s="46"/>
    </row>
    <row r="208" ht="22.5" customHeight="1">
      <c r="A208" s="40">
        <v>46206.27914125</v>
      </c>
      <c r="B208" s="41">
        <v>46205.0</v>
      </c>
      <c r="C208" s="42" t="s">
        <v>19</v>
      </c>
      <c r="D208" s="42" t="s">
        <v>10</v>
      </c>
      <c r="E208" s="42" t="s">
        <v>1027</v>
      </c>
      <c r="F208" s="56" t="s">
        <v>826</v>
      </c>
      <c r="G208" s="43" t="s">
        <v>1033</v>
      </c>
      <c r="H208" s="42">
        <v>20.0</v>
      </c>
      <c r="J208" s="42">
        <v>3.0</v>
      </c>
      <c r="K208" s="42">
        <v>2.0</v>
      </c>
      <c r="L208" s="43" t="s">
        <v>1034</v>
      </c>
      <c r="M208" s="44" t="s">
        <v>1035</v>
      </c>
      <c r="N208" s="44" t="s">
        <v>1036</v>
      </c>
      <c r="O208" s="43" t="s">
        <v>1037</v>
      </c>
      <c r="P208" s="42">
        <v>3.0</v>
      </c>
      <c r="Q208" s="45"/>
      <c r="R208" s="45"/>
      <c r="S208" s="46"/>
      <c r="T208" s="46"/>
    </row>
    <row r="209" ht="22.5" customHeight="1">
      <c r="A209" s="40">
        <v>46209.92782640047</v>
      </c>
      <c r="B209" s="41">
        <v>46209.0</v>
      </c>
      <c r="C209" s="42" t="s">
        <v>19</v>
      </c>
      <c r="D209" s="42" t="s">
        <v>10</v>
      </c>
      <c r="E209" s="42" t="s">
        <v>1027</v>
      </c>
      <c r="F209" s="42" t="s">
        <v>1038</v>
      </c>
      <c r="G209" s="43" t="s">
        <v>1039</v>
      </c>
      <c r="H209" s="42">
        <v>29.0</v>
      </c>
      <c r="J209" s="42">
        <v>2.0</v>
      </c>
      <c r="K209" s="42">
        <v>2.0</v>
      </c>
      <c r="L209" s="43" t="s">
        <v>1040</v>
      </c>
      <c r="M209" s="44" t="s">
        <v>1041</v>
      </c>
      <c r="N209" s="44" t="s">
        <v>1042</v>
      </c>
      <c r="O209" s="43" t="s">
        <v>1043</v>
      </c>
      <c r="P209" s="42">
        <v>2.0</v>
      </c>
      <c r="Q209" s="45"/>
      <c r="R209" s="45"/>
      <c r="T209" s="47"/>
    </row>
    <row r="210" ht="22.5" customHeight="1">
      <c r="A210" s="40">
        <v>46202.77664865741</v>
      </c>
      <c r="B210" s="41">
        <v>46202.0</v>
      </c>
      <c r="C210" s="42" t="s">
        <v>22</v>
      </c>
      <c r="D210" s="42" t="s">
        <v>31</v>
      </c>
      <c r="E210" s="42" t="s">
        <v>1044</v>
      </c>
      <c r="F210" s="42" t="s">
        <v>1045</v>
      </c>
      <c r="G210" s="43" t="s">
        <v>1046</v>
      </c>
      <c r="H210" s="42">
        <v>8.0</v>
      </c>
      <c r="J210" s="42">
        <v>2.0</v>
      </c>
      <c r="K210" s="42">
        <v>0.0</v>
      </c>
      <c r="L210" s="43" t="s">
        <v>1047</v>
      </c>
      <c r="M210" s="49" t="s">
        <v>1048</v>
      </c>
      <c r="N210" s="48">
        <v>0.0</v>
      </c>
      <c r="O210" s="43" t="s">
        <v>1049</v>
      </c>
      <c r="P210" s="42">
        <v>1.0</v>
      </c>
      <c r="Q210" s="45"/>
      <c r="R210" s="45"/>
      <c r="S210" s="46"/>
      <c r="T210" s="46"/>
    </row>
    <row r="211" ht="22.5" customHeight="1">
      <c r="A211" s="40">
        <v>46203.664030810185</v>
      </c>
      <c r="B211" s="41">
        <v>46203.0</v>
      </c>
      <c r="C211" s="42" t="s">
        <v>22</v>
      </c>
      <c r="D211" s="42" t="s">
        <v>31</v>
      </c>
      <c r="E211" s="42" t="s">
        <v>1044</v>
      </c>
      <c r="F211" s="42" t="s">
        <v>1045</v>
      </c>
      <c r="G211" s="43" t="s">
        <v>1050</v>
      </c>
      <c r="H211" s="42">
        <v>27.0</v>
      </c>
      <c r="J211" s="42">
        <v>0.0</v>
      </c>
      <c r="K211" s="42">
        <v>0.0</v>
      </c>
      <c r="L211" s="43" t="s">
        <v>1051</v>
      </c>
      <c r="M211" s="48">
        <v>0.0</v>
      </c>
      <c r="N211" s="48">
        <v>0.0</v>
      </c>
      <c r="O211" s="43" t="s">
        <v>1052</v>
      </c>
      <c r="P211" s="42">
        <v>14.0</v>
      </c>
      <c r="Q211" s="45"/>
      <c r="R211" s="45"/>
      <c r="S211" s="46"/>
      <c r="T211" s="46"/>
    </row>
    <row r="212" ht="22.5" customHeight="1">
      <c r="A212" s="40">
        <v>46204.744149907405</v>
      </c>
      <c r="B212" s="41">
        <v>46204.0</v>
      </c>
      <c r="C212" s="42" t="s">
        <v>22</v>
      </c>
      <c r="D212" s="42" t="s">
        <v>31</v>
      </c>
      <c r="E212" s="42" t="s">
        <v>1044</v>
      </c>
      <c r="F212" s="42" t="s">
        <v>1045</v>
      </c>
      <c r="G212" s="43" t="s">
        <v>1053</v>
      </c>
      <c r="H212" s="42">
        <v>31.0</v>
      </c>
      <c r="J212" s="42">
        <v>0.0</v>
      </c>
      <c r="K212" s="42">
        <v>1.0</v>
      </c>
      <c r="L212" s="43" t="s">
        <v>1054</v>
      </c>
      <c r="M212" s="42">
        <v>0.0</v>
      </c>
      <c r="N212" s="44" t="s">
        <v>1055</v>
      </c>
      <c r="O212" s="43" t="s">
        <v>1056</v>
      </c>
      <c r="P212" s="42">
        <v>3.0</v>
      </c>
      <c r="Q212" s="45"/>
      <c r="R212" s="45"/>
      <c r="S212" s="46"/>
      <c r="T212" s="46"/>
    </row>
    <row r="213" ht="22.5" customHeight="1">
      <c r="A213" s="40">
        <v>46205.67718195602</v>
      </c>
      <c r="B213" s="41">
        <v>46205.0</v>
      </c>
      <c r="C213" s="42" t="s">
        <v>22</v>
      </c>
      <c r="D213" s="42" t="s">
        <v>31</v>
      </c>
      <c r="E213" s="42" t="s">
        <v>1044</v>
      </c>
      <c r="F213" s="42" t="s">
        <v>1045</v>
      </c>
      <c r="G213" s="43" t="s">
        <v>1057</v>
      </c>
      <c r="H213" s="42">
        <v>44.0</v>
      </c>
      <c r="J213" s="42">
        <v>1.0</v>
      </c>
      <c r="K213" s="42">
        <v>3.0</v>
      </c>
      <c r="L213" s="43" t="s">
        <v>1058</v>
      </c>
      <c r="M213" s="44" t="s">
        <v>1059</v>
      </c>
      <c r="N213" s="42">
        <v>0.0</v>
      </c>
      <c r="O213" s="43" t="s">
        <v>1060</v>
      </c>
      <c r="P213" s="42">
        <v>5.0</v>
      </c>
      <c r="Q213" s="45"/>
      <c r="R213" s="45"/>
      <c r="S213" s="46"/>
      <c r="T213" s="46"/>
    </row>
    <row r="214" ht="22.5" customHeight="1">
      <c r="A214" s="40">
        <v>46206.6705683912</v>
      </c>
      <c r="B214" s="41">
        <v>46206.0</v>
      </c>
      <c r="C214" s="42" t="s">
        <v>22</v>
      </c>
      <c r="D214" s="42" t="s">
        <v>31</v>
      </c>
      <c r="E214" s="42" t="s">
        <v>1044</v>
      </c>
      <c r="F214" s="42" t="s">
        <v>1061</v>
      </c>
      <c r="G214" s="43" t="s">
        <v>1062</v>
      </c>
      <c r="H214" s="42">
        <v>21.0</v>
      </c>
      <c r="J214" s="42">
        <v>2.0</v>
      </c>
      <c r="K214" s="42">
        <v>5.0</v>
      </c>
      <c r="L214" s="43" t="s">
        <v>1063</v>
      </c>
      <c r="M214" s="42" t="s">
        <v>1064</v>
      </c>
      <c r="N214" s="42" t="s">
        <v>216</v>
      </c>
      <c r="O214" s="43" t="s">
        <v>1065</v>
      </c>
      <c r="P214" s="42">
        <v>3.0</v>
      </c>
      <c r="Q214" s="45"/>
      <c r="R214" s="45"/>
      <c r="S214" s="46"/>
      <c r="T214" s="46"/>
    </row>
    <row r="215" ht="22.5" customHeight="1">
      <c r="A215" s="40">
        <v>46209.3957865625</v>
      </c>
      <c r="B215" s="41">
        <v>46208.0</v>
      </c>
      <c r="C215" s="42" t="s">
        <v>22</v>
      </c>
      <c r="D215" s="42" t="s">
        <v>31</v>
      </c>
      <c r="E215" s="42" t="s">
        <v>1044</v>
      </c>
      <c r="F215" s="42" t="s">
        <v>1045</v>
      </c>
      <c r="G215" s="43" t="s">
        <v>1066</v>
      </c>
      <c r="H215" s="42">
        <v>24.0</v>
      </c>
      <c r="J215" s="42">
        <v>2.0</v>
      </c>
      <c r="K215" s="42">
        <v>7.0</v>
      </c>
      <c r="L215" s="43" t="s">
        <v>1067</v>
      </c>
      <c r="M215" s="42" t="s">
        <v>1068</v>
      </c>
      <c r="N215" s="42" t="s">
        <v>216</v>
      </c>
      <c r="O215" s="43" t="s">
        <v>1069</v>
      </c>
      <c r="P215" s="42">
        <v>4.0</v>
      </c>
      <c r="Q215" s="45"/>
      <c r="R215" s="45"/>
      <c r="S215" s="46"/>
      <c r="T215" s="46"/>
    </row>
    <row r="216" ht="22.5" customHeight="1">
      <c r="A216" s="40">
        <v>46209.686998391204</v>
      </c>
      <c r="B216" s="41">
        <v>46209.0</v>
      </c>
      <c r="C216" s="42" t="s">
        <v>22</v>
      </c>
      <c r="D216" s="42" t="s">
        <v>31</v>
      </c>
      <c r="E216" s="42" t="s">
        <v>1044</v>
      </c>
      <c r="F216" s="42" t="s">
        <v>1061</v>
      </c>
      <c r="G216" s="43" t="s">
        <v>1070</v>
      </c>
      <c r="H216" s="42">
        <v>33.0</v>
      </c>
      <c r="J216" s="42">
        <v>1.0</v>
      </c>
      <c r="K216" s="42">
        <v>5.0</v>
      </c>
      <c r="L216" s="43" t="s">
        <v>1071</v>
      </c>
      <c r="M216" s="44" t="s">
        <v>1072</v>
      </c>
      <c r="N216" s="42" t="s">
        <v>216</v>
      </c>
      <c r="O216" s="43" t="s">
        <v>1073</v>
      </c>
      <c r="P216" s="42">
        <v>7.0</v>
      </c>
      <c r="Q216" s="45"/>
      <c r="R216" s="45"/>
      <c r="T216" s="47"/>
    </row>
    <row r="217" ht="22.5" customHeight="1">
      <c r="A217" s="40">
        <v>46210.69061925926</v>
      </c>
      <c r="B217" s="41">
        <v>46210.0</v>
      </c>
      <c r="C217" s="42" t="s">
        <v>22</v>
      </c>
      <c r="D217" s="42" t="s">
        <v>31</v>
      </c>
      <c r="E217" s="42" t="s">
        <v>1044</v>
      </c>
      <c r="F217" s="42" t="s">
        <v>1061</v>
      </c>
      <c r="G217" s="43" t="s">
        <v>1074</v>
      </c>
      <c r="H217" s="42">
        <v>21.0</v>
      </c>
      <c r="J217" s="42">
        <v>0.0</v>
      </c>
      <c r="K217" s="42">
        <v>3.0</v>
      </c>
      <c r="L217" s="43" t="s">
        <v>1075</v>
      </c>
      <c r="M217" s="42">
        <v>0.0</v>
      </c>
      <c r="N217" s="42">
        <v>0.0</v>
      </c>
      <c r="O217" s="43" t="s">
        <v>1076</v>
      </c>
      <c r="P217" s="42">
        <v>3.0</v>
      </c>
      <c r="T217" s="47"/>
    </row>
    <row r="218" ht="22.5" customHeight="1">
      <c r="A218" s="40">
        <v>46195.74768226852</v>
      </c>
      <c r="B218" s="41">
        <v>46195.0</v>
      </c>
      <c r="C218" s="42" t="s">
        <v>19</v>
      </c>
      <c r="D218" s="42" t="s">
        <v>15</v>
      </c>
      <c r="E218" s="42" t="s">
        <v>1077</v>
      </c>
      <c r="F218" s="42" t="s">
        <v>1078</v>
      </c>
      <c r="G218" s="43" t="s">
        <v>1079</v>
      </c>
      <c r="H218" s="42">
        <v>2.0</v>
      </c>
      <c r="J218" s="42">
        <v>1.0</v>
      </c>
      <c r="K218" s="42">
        <v>0.0</v>
      </c>
      <c r="L218" s="43" t="s">
        <v>1080</v>
      </c>
      <c r="M218" s="49" t="s">
        <v>1081</v>
      </c>
      <c r="N218" s="48">
        <v>0.0</v>
      </c>
      <c r="O218" s="43" t="s">
        <v>1082</v>
      </c>
      <c r="P218" s="42">
        <v>1.0</v>
      </c>
      <c r="Q218" s="45"/>
      <c r="R218" s="45"/>
      <c r="S218" s="46"/>
      <c r="T218" s="46"/>
    </row>
    <row r="219" ht="22.5" customHeight="1">
      <c r="A219" s="40">
        <v>46196.885278368056</v>
      </c>
      <c r="B219" s="41">
        <v>46196.0</v>
      </c>
      <c r="C219" s="42" t="s">
        <v>19</v>
      </c>
      <c r="D219" s="42" t="s">
        <v>15</v>
      </c>
      <c r="E219" s="42" t="s">
        <v>1077</v>
      </c>
      <c r="F219" s="42" t="s">
        <v>1078</v>
      </c>
      <c r="G219" s="43" t="s">
        <v>1083</v>
      </c>
      <c r="H219" s="42">
        <v>27.0</v>
      </c>
      <c r="J219" s="42">
        <v>3.0</v>
      </c>
      <c r="K219" s="42" t="s">
        <v>216</v>
      </c>
      <c r="L219" s="43" t="s">
        <v>1084</v>
      </c>
      <c r="M219" s="48" t="s">
        <v>1085</v>
      </c>
      <c r="N219" s="48" t="s">
        <v>216</v>
      </c>
      <c r="O219" s="43" t="s">
        <v>1086</v>
      </c>
      <c r="P219" s="42">
        <v>3.0</v>
      </c>
      <c r="Q219" s="45"/>
      <c r="R219" s="45"/>
      <c r="S219" s="46"/>
      <c r="T219" s="46"/>
    </row>
    <row r="220" ht="22.5" customHeight="1">
      <c r="A220" s="40">
        <v>46197.833000555554</v>
      </c>
      <c r="B220" s="41">
        <v>46197.0</v>
      </c>
      <c r="C220" s="42" t="s">
        <v>19</v>
      </c>
      <c r="D220" s="42" t="s">
        <v>15</v>
      </c>
      <c r="E220" s="42" t="s">
        <v>1077</v>
      </c>
      <c r="F220" s="42" t="s">
        <v>1078</v>
      </c>
      <c r="G220" s="43" t="s">
        <v>1087</v>
      </c>
      <c r="H220" s="42">
        <v>30.0</v>
      </c>
      <c r="J220" s="42">
        <v>3.0</v>
      </c>
      <c r="K220" s="42" t="s">
        <v>216</v>
      </c>
      <c r="M220" s="48" t="s">
        <v>1088</v>
      </c>
      <c r="N220" s="48" t="s">
        <v>216</v>
      </c>
      <c r="O220" s="43" t="s">
        <v>1089</v>
      </c>
      <c r="P220" s="42">
        <v>3.0</v>
      </c>
      <c r="Q220" s="45"/>
      <c r="R220" s="45"/>
      <c r="S220" s="46"/>
      <c r="T220" s="46"/>
    </row>
    <row r="221" ht="22.5" customHeight="1">
      <c r="A221" s="40">
        <v>46197.83606916667</v>
      </c>
      <c r="B221" s="41">
        <v>46197.0</v>
      </c>
      <c r="C221" s="42" t="s">
        <v>19</v>
      </c>
      <c r="D221" s="42" t="s">
        <v>15</v>
      </c>
      <c r="E221" s="42" t="s">
        <v>1077</v>
      </c>
      <c r="F221" s="42" t="s">
        <v>1078</v>
      </c>
      <c r="G221" s="43" t="s">
        <v>1090</v>
      </c>
      <c r="H221" s="42">
        <v>30.0</v>
      </c>
      <c r="J221" s="42">
        <v>3.0</v>
      </c>
      <c r="K221" s="42" t="s">
        <v>216</v>
      </c>
      <c r="L221" s="43" t="s">
        <v>1091</v>
      </c>
      <c r="M221" s="48" t="s">
        <v>1092</v>
      </c>
      <c r="N221" s="48" t="s">
        <v>216</v>
      </c>
      <c r="O221" s="43" t="s">
        <v>1093</v>
      </c>
      <c r="P221" s="42">
        <v>3.0</v>
      </c>
      <c r="Q221" s="45"/>
      <c r="R221" s="45"/>
      <c r="S221" s="46"/>
      <c r="T221" s="46"/>
    </row>
    <row r="222" ht="22.5" customHeight="1">
      <c r="A222" s="40">
        <v>46199.44402988426</v>
      </c>
      <c r="B222" s="41">
        <v>46198.0</v>
      </c>
      <c r="C222" s="42" t="s">
        <v>19</v>
      </c>
      <c r="D222" s="42" t="s">
        <v>15</v>
      </c>
      <c r="E222" s="42" t="s">
        <v>1077</v>
      </c>
      <c r="F222" s="42" t="s">
        <v>1078</v>
      </c>
      <c r="G222" s="43" t="s">
        <v>1094</v>
      </c>
      <c r="H222" s="42">
        <v>26.0</v>
      </c>
      <c r="J222" s="42">
        <v>3.0</v>
      </c>
      <c r="K222" s="42" t="s">
        <v>216</v>
      </c>
      <c r="L222" s="43" t="s">
        <v>1095</v>
      </c>
      <c r="M222" s="48" t="s">
        <v>1096</v>
      </c>
      <c r="N222" s="48" t="s">
        <v>216</v>
      </c>
      <c r="O222" s="43" t="s">
        <v>1097</v>
      </c>
      <c r="P222" s="42">
        <v>3.0</v>
      </c>
      <c r="Q222" s="45"/>
      <c r="R222" s="45"/>
      <c r="S222" s="46"/>
      <c r="T222" s="46"/>
    </row>
    <row r="223" ht="22.5" customHeight="1">
      <c r="A223" s="40">
        <v>46200.36370460648</v>
      </c>
      <c r="B223" s="41">
        <v>46199.0</v>
      </c>
      <c r="C223" s="42" t="s">
        <v>19</v>
      </c>
      <c r="D223" s="42" t="s">
        <v>15</v>
      </c>
      <c r="E223" s="42" t="s">
        <v>1077</v>
      </c>
      <c r="F223" s="42" t="s">
        <v>1078</v>
      </c>
      <c r="G223" s="43" t="s">
        <v>1098</v>
      </c>
      <c r="H223" s="42">
        <v>30.0</v>
      </c>
      <c r="J223" s="42">
        <v>7.0</v>
      </c>
      <c r="K223" s="42" t="s">
        <v>216</v>
      </c>
      <c r="L223" s="43" t="s">
        <v>1099</v>
      </c>
      <c r="M223" s="48" t="s">
        <v>1100</v>
      </c>
      <c r="N223" s="48" t="s">
        <v>216</v>
      </c>
      <c r="O223" s="43" t="s">
        <v>1101</v>
      </c>
      <c r="P223" s="42">
        <v>7.0</v>
      </c>
      <c r="Q223" s="45"/>
      <c r="R223" s="45"/>
      <c r="S223" s="46"/>
      <c r="T223" s="46"/>
    </row>
    <row r="224" ht="22.5" customHeight="1">
      <c r="A224" s="40">
        <v>46201.903251701384</v>
      </c>
      <c r="B224" s="41">
        <v>46201.0</v>
      </c>
      <c r="C224" s="42" t="s">
        <v>19</v>
      </c>
      <c r="D224" s="42" t="s">
        <v>15</v>
      </c>
      <c r="E224" s="42" t="s">
        <v>1077</v>
      </c>
      <c r="F224" s="42" t="s">
        <v>1078</v>
      </c>
      <c r="G224" s="43" t="s">
        <v>1102</v>
      </c>
      <c r="H224" s="42">
        <v>23.0</v>
      </c>
      <c r="J224" s="42">
        <v>5.0</v>
      </c>
      <c r="K224" s="42" t="s">
        <v>216</v>
      </c>
      <c r="L224" s="43" t="s">
        <v>1103</v>
      </c>
      <c r="M224" s="48" t="s">
        <v>1104</v>
      </c>
      <c r="N224" s="48" t="s">
        <v>216</v>
      </c>
      <c r="O224" s="43" t="s">
        <v>1105</v>
      </c>
      <c r="P224" s="42">
        <v>5.0</v>
      </c>
      <c r="Q224" s="45"/>
      <c r="R224" s="45"/>
      <c r="S224" s="46"/>
      <c r="T224" s="46"/>
    </row>
    <row r="225" ht="22.5" customHeight="1">
      <c r="A225" s="40">
        <v>46202.94023835648</v>
      </c>
      <c r="B225" s="41">
        <v>46202.0</v>
      </c>
      <c r="C225" s="42" t="s">
        <v>19</v>
      </c>
      <c r="D225" s="42" t="s">
        <v>15</v>
      </c>
      <c r="E225" s="42" t="s">
        <v>1077</v>
      </c>
      <c r="F225" s="42" t="s">
        <v>1106</v>
      </c>
      <c r="G225" s="43" t="s">
        <v>1107</v>
      </c>
      <c r="H225" s="42">
        <v>15.0</v>
      </c>
      <c r="J225" s="42">
        <v>2.0</v>
      </c>
      <c r="K225" s="42">
        <v>1.0</v>
      </c>
      <c r="L225" s="43" t="s">
        <v>1108</v>
      </c>
      <c r="M225" s="48" t="s">
        <v>1109</v>
      </c>
      <c r="N225" s="49" t="s">
        <v>1110</v>
      </c>
      <c r="O225" s="43" t="s">
        <v>1111</v>
      </c>
      <c r="P225" s="42">
        <v>3.0</v>
      </c>
      <c r="Q225" s="45"/>
      <c r="R225" s="45"/>
      <c r="S225" s="46"/>
      <c r="T225" s="46"/>
    </row>
    <row r="226" ht="22.5" customHeight="1">
      <c r="A226" s="40">
        <v>46203.955671759264</v>
      </c>
      <c r="B226" s="41">
        <v>46203.0</v>
      </c>
      <c r="C226" s="42" t="s">
        <v>19</v>
      </c>
      <c r="D226" s="42" t="s">
        <v>15</v>
      </c>
      <c r="E226" s="42" t="s">
        <v>1077</v>
      </c>
      <c r="F226" s="42" t="s">
        <v>1078</v>
      </c>
      <c r="G226" s="43" t="s">
        <v>1112</v>
      </c>
      <c r="H226" s="42">
        <v>14.0</v>
      </c>
      <c r="J226" s="42">
        <v>2.0</v>
      </c>
      <c r="K226" s="42">
        <v>4.0</v>
      </c>
      <c r="L226" s="43" t="s">
        <v>1113</v>
      </c>
      <c r="M226" s="48" t="s">
        <v>1114</v>
      </c>
      <c r="N226" s="48" t="s">
        <v>1115</v>
      </c>
      <c r="O226" s="43" t="s">
        <v>1116</v>
      </c>
      <c r="P226" s="42">
        <v>6.0</v>
      </c>
      <c r="Q226" s="45"/>
      <c r="R226" s="45"/>
      <c r="S226" s="46"/>
      <c r="T226" s="46"/>
    </row>
    <row r="227" ht="22.5" customHeight="1">
      <c r="A227" s="40">
        <v>46205.02846512731</v>
      </c>
      <c r="B227" s="41">
        <v>46204.0</v>
      </c>
      <c r="C227" s="42" t="s">
        <v>19</v>
      </c>
      <c r="D227" s="42" t="s">
        <v>15</v>
      </c>
      <c r="E227" s="42" t="s">
        <v>1077</v>
      </c>
      <c r="F227" s="42" t="s">
        <v>1078</v>
      </c>
      <c r="G227" s="43" t="s">
        <v>1117</v>
      </c>
      <c r="H227" s="42">
        <v>13.0</v>
      </c>
      <c r="J227" s="42">
        <v>2.0</v>
      </c>
      <c r="K227" s="42">
        <v>1.0</v>
      </c>
      <c r="L227" s="43" t="s">
        <v>1118</v>
      </c>
      <c r="M227" s="42" t="s">
        <v>1119</v>
      </c>
      <c r="N227" s="44" t="s">
        <v>1120</v>
      </c>
      <c r="O227" s="43" t="s">
        <v>1121</v>
      </c>
      <c r="P227" s="42">
        <v>2.0</v>
      </c>
      <c r="Q227" s="45"/>
      <c r="R227" s="45"/>
      <c r="S227" s="46"/>
      <c r="T227" s="46"/>
    </row>
    <row r="228" ht="22.5" customHeight="1">
      <c r="A228" s="40">
        <v>46205.904015127315</v>
      </c>
      <c r="B228" s="41">
        <v>46205.0</v>
      </c>
      <c r="C228" s="42" t="s">
        <v>19</v>
      </c>
      <c r="D228" s="42" t="s">
        <v>15</v>
      </c>
      <c r="E228" s="42" t="s">
        <v>1077</v>
      </c>
      <c r="F228" s="42" t="s">
        <v>1078</v>
      </c>
      <c r="G228" s="43" t="s">
        <v>1122</v>
      </c>
      <c r="H228" s="42">
        <v>11.0</v>
      </c>
      <c r="J228" s="42">
        <v>1.0</v>
      </c>
      <c r="K228" s="42" t="s">
        <v>216</v>
      </c>
      <c r="L228" s="43" t="s">
        <v>1123</v>
      </c>
      <c r="M228" s="44" t="s">
        <v>1124</v>
      </c>
      <c r="N228" s="42" t="s">
        <v>216</v>
      </c>
      <c r="O228" s="43" t="s">
        <v>1125</v>
      </c>
      <c r="P228" s="42">
        <v>2.0</v>
      </c>
      <c r="Q228" s="45"/>
      <c r="R228" s="45"/>
      <c r="S228" s="46"/>
      <c r="T228" s="46"/>
    </row>
    <row r="229" ht="22.5" customHeight="1">
      <c r="A229" s="40">
        <v>46206.970081817126</v>
      </c>
      <c r="B229" s="41">
        <v>46206.0</v>
      </c>
      <c r="C229" s="42" t="s">
        <v>19</v>
      </c>
      <c r="D229" s="42" t="s">
        <v>15</v>
      </c>
      <c r="E229" s="42" t="s">
        <v>1077</v>
      </c>
      <c r="F229" s="42" t="s">
        <v>1078</v>
      </c>
      <c r="G229" s="43" t="s">
        <v>1126</v>
      </c>
      <c r="H229" s="42">
        <v>15.0</v>
      </c>
      <c r="J229" s="42">
        <v>4.0</v>
      </c>
      <c r="K229" s="42">
        <v>6.0</v>
      </c>
      <c r="L229" s="43" t="s">
        <v>1127</v>
      </c>
      <c r="M229" s="42" t="s">
        <v>1128</v>
      </c>
      <c r="N229" s="42" t="s">
        <v>1129</v>
      </c>
      <c r="O229" s="43" t="s">
        <v>1130</v>
      </c>
      <c r="P229" s="42">
        <v>3.0</v>
      </c>
      <c r="Q229" s="45"/>
      <c r="R229" s="45"/>
      <c r="S229" s="46"/>
      <c r="T229" s="46"/>
    </row>
    <row r="230" ht="22.5" customHeight="1">
      <c r="A230" s="40">
        <v>46209.39067971065</v>
      </c>
      <c r="B230" s="41">
        <v>46208.0</v>
      </c>
      <c r="C230" s="42" t="s">
        <v>19</v>
      </c>
      <c r="D230" s="42" t="s">
        <v>15</v>
      </c>
      <c r="E230" s="42" t="s">
        <v>1077</v>
      </c>
      <c r="F230" s="42" t="s">
        <v>1078</v>
      </c>
      <c r="G230" s="43" t="s">
        <v>1131</v>
      </c>
      <c r="H230" s="42">
        <v>15.0</v>
      </c>
      <c r="J230" s="42">
        <v>5.0</v>
      </c>
      <c r="K230" s="42" t="s">
        <v>216</v>
      </c>
      <c r="L230" s="43" t="s">
        <v>1132</v>
      </c>
      <c r="M230" s="42" t="s">
        <v>1133</v>
      </c>
      <c r="N230" s="42" t="s">
        <v>216</v>
      </c>
      <c r="O230" s="43" t="s">
        <v>1134</v>
      </c>
      <c r="P230" s="42">
        <v>5.0</v>
      </c>
      <c r="Q230" s="45"/>
      <c r="R230" s="45"/>
      <c r="S230" s="46"/>
      <c r="T230" s="46"/>
    </row>
    <row r="231" ht="22.5" customHeight="1">
      <c r="A231" s="40">
        <v>46209.94184354167</v>
      </c>
      <c r="B231" s="41">
        <v>46209.0</v>
      </c>
      <c r="C231" s="42" t="s">
        <v>19</v>
      </c>
      <c r="D231" s="42" t="s">
        <v>15</v>
      </c>
      <c r="E231" s="42" t="s">
        <v>1077</v>
      </c>
      <c r="F231" s="42" t="s">
        <v>1078</v>
      </c>
      <c r="G231" s="43" t="s">
        <v>1135</v>
      </c>
      <c r="H231" s="42">
        <v>15.0</v>
      </c>
      <c r="J231" s="42">
        <v>3.0</v>
      </c>
      <c r="K231" s="42" t="s">
        <v>216</v>
      </c>
      <c r="L231" s="43" t="s">
        <v>1136</v>
      </c>
      <c r="M231" s="42" t="s">
        <v>1137</v>
      </c>
      <c r="N231" s="42" t="s">
        <v>216</v>
      </c>
      <c r="O231" s="43" t="s">
        <v>1138</v>
      </c>
      <c r="P231" s="42">
        <v>5.0</v>
      </c>
      <c r="Q231" s="45"/>
      <c r="R231" s="45"/>
      <c r="T231" s="47"/>
    </row>
    <row r="232" ht="22.5" customHeight="1">
      <c r="A232" s="40">
        <v>46210.929986840274</v>
      </c>
      <c r="B232" s="41">
        <v>46210.0</v>
      </c>
      <c r="C232" s="42" t="s">
        <v>19</v>
      </c>
      <c r="D232" s="42" t="s">
        <v>15</v>
      </c>
      <c r="E232" s="42" t="s">
        <v>1077</v>
      </c>
      <c r="F232" s="42" t="s">
        <v>1078</v>
      </c>
      <c r="G232" s="43" t="s">
        <v>1139</v>
      </c>
      <c r="H232" s="42">
        <v>10.0</v>
      </c>
      <c r="J232" s="42">
        <v>3.0</v>
      </c>
      <c r="K232" s="42">
        <v>1.0</v>
      </c>
      <c r="L232" s="43" t="s">
        <v>1140</v>
      </c>
      <c r="M232" s="42" t="s">
        <v>1141</v>
      </c>
      <c r="N232" s="44" t="s">
        <v>1142</v>
      </c>
      <c r="O232" s="43" t="s">
        <v>1143</v>
      </c>
      <c r="P232" s="42">
        <v>2.0</v>
      </c>
      <c r="T232" s="47"/>
    </row>
    <row r="233" ht="22.5" customHeight="1">
      <c r="A233" s="40">
        <v>46203.96032017361</v>
      </c>
      <c r="B233" s="41">
        <v>46203.0</v>
      </c>
      <c r="C233" s="42" t="s">
        <v>22</v>
      </c>
      <c r="D233" s="42" t="s">
        <v>29</v>
      </c>
      <c r="E233" s="42" t="s">
        <v>1144</v>
      </c>
      <c r="F233" s="42" t="s">
        <v>1145</v>
      </c>
      <c r="G233" s="43" t="s">
        <v>1146</v>
      </c>
      <c r="H233" s="42">
        <v>15.0</v>
      </c>
      <c r="J233" s="42">
        <v>0.0</v>
      </c>
      <c r="K233" s="42">
        <v>2.0</v>
      </c>
      <c r="L233" s="43" t="s">
        <v>1147</v>
      </c>
      <c r="M233" s="48">
        <v>0.0</v>
      </c>
      <c r="N233" s="48" t="s">
        <v>1148</v>
      </c>
      <c r="O233" s="43" t="s">
        <v>1149</v>
      </c>
      <c r="P233" s="42">
        <v>2.0</v>
      </c>
      <c r="Q233" s="45"/>
      <c r="R233" s="45"/>
      <c r="S233" s="46"/>
      <c r="T233" s="46"/>
    </row>
    <row r="234" ht="22.5" customHeight="1">
      <c r="A234" s="40">
        <v>46203.962520057874</v>
      </c>
      <c r="B234" s="41">
        <v>46203.0</v>
      </c>
      <c r="C234" s="42" t="s">
        <v>22</v>
      </c>
      <c r="D234" s="42" t="s">
        <v>29</v>
      </c>
      <c r="E234" s="42" t="s">
        <v>1144</v>
      </c>
      <c r="F234" s="42" t="s">
        <v>1145</v>
      </c>
      <c r="G234" s="43" t="s">
        <v>1150</v>
      </c>
      <c r="H234" s="42">
        <v>15.0</v>
      </c>
      <c r="J234" s="42">
        <v>0.0</v>
      </c>
      <c r="K234" s="42">
        <v>2.0</v>
      </c>
      <c r="L234" s="43" t="s">
        <v>1151</v>
      </c>
      <c r="M234" s="48">
        <v>0.0</v>
      </c>
      <c r="N234" s="48" t="s">
        <v>1148</v>
      </c>
      <c r="O234" s="43" t="s">
        <v>1152</v>
      </c>
      <c r="P234" s="42">
        <v>3.0</v>
      </c>
      <c r="Q234" s="45"/>
      <c r="R234" s="45"/>
      <c r="S234" s="46"/>
      <c r="T234" s="46"/>
    </row>
    <row r="235" ht="22.5" customHeight="1">
      <c r="A235" s="40">
        <v>46204.981554768514</v>
      </c>
      <c r="B235" s="41">
        <v>46204.0</v>
      </c>
      <c r="C235" s="42" t="s">
        <v>22</v>
      </c>
      <c r="D235" s="42" t="s">
        <v>29</v>
      </c>
      <c r="E235" s="42" t="s">
        <v>1144</v>
      </c>
      <c r="F235" s="42" t="s">
        <v>1153</v>
      </c>
      <c r="G235" s="43" t="s">
        <v>1154</v>
      </c>
      <c r="H235" s="42">
        <v>28.0</v>
      </c>
      <c r="J235" s="42">
        <v>0.0</v>
      </c>
      <c r="K235" s="42">
        <v>10.0</v>
      </c>
      <c r="L235" s="43" t="s">
        <v>1155</v>
      </c>
      <c r="M235" s="42">
        <v>0.0</v>
      </c>
      <c r="N235" s="42" t="s">
        <v>1156</v>
      </c>
      <c r="O235" s="43" t="s">
        <v>1157</v>
      </c>
      <c r="P235" s="42">
        <v>4.0</v>
      </c>
      <c r="Q235" s="45"/>
      <c r="R235" s="45"/>
      <c r="S235" s="46"/>
      <c r="T235" s="46"/>
    </row>
    <row r="236" ht="22.5" customHeight="1">
      <c r="A236" s="40">
        <v>46205.977733148145</v>
      </c>
      <c r="B236" s="41">
        <v>46205.0</v>
      </c>
      <c r="C236" s="42" t="s">
        <v>22</v>
      </c>
      <c r="D236" s="42" t="s">
        <v>29</v>
      </c>
      <c r="E236" s="42" t="s">
        <v>1144</v>
      </c>
      <c r="F236" s="42" t="s">
        <v>1145</v>
      </c>
      <c r="G236" s="43" t="s">
        <v>1158</v>
      </c>
      <c r="H236" s="42">
        <v>37.0</v>
      </c>
      <c r="J236" s="42">
        <v>1.0</v>
      </c>
      <c r="K236" s="42">
        <v>7.0</v>
      </c>
      <c r="L236" s="43" t="s">
        <v>1159</v>
      </c>
      <c r="M236" s="44" t="s">
        <v>1160</v>
      </c>
      <c r="N236" s="42" t="s">
        <v>1161</v>
      </c>
      <c r="O236" s="43" t="s">
        <v>1162</v>
      </c>
      <c r="P236" s="42">
        <v>3.0</v>
      </c>
      <c r="Q236" s="45"/>
      <c r="R236" s="45"/>
      <c r="S236" s="46"/>
      <c r="T236" s="46"/>
    </row>
    <row r="237" ht="22.5" customHeight="1">
      <c r="A237" s="40">
        <v>46209.565992199074</v>
      </c>
      <c r="B237" s="41">
        <v>46207.0</v>
      </c>
      <c r="C237" s="42" t="s">
        <v>22</v>
      </c>
      <c r="D237" s="42" t="s">
        <v>29</v>
      </c>
      <c r="E237" s="42" t="s">
        <v>1144</v>
      </c>
      <c r="F237" s="42" t="s">
        <v>1145</v>
      </c>
      <c r="G237" s="43" t="s">
        <v>1163</v>
      </c>
      <c r="H237" s="42">
        <v>29.0</v>
      </c>
      <c r="J237" s="42">
        <v>1.0</v>
      </c>
      <c r="K237" s="42">
        <v>11.0</v>
      </c>
      <c r="L237" s="43" t="s">
        <v>1164</v>
      </c>
      <c r="M237" s="44" t="s">
        <v>1165</v>
      </c>
      <c r="N237" s="42" t="s">
        <v>1166</v>
      </c>
      <c r="O237" s="43" t="s">
        <v>1167</v>
      </c>
      <c r="P237" s="42">
        <v>4.0</v>
      </c>
      <c r="Q237" s="45"/>
      <c r="R237" s="45"/>
      <c r="S237" s="46"/>
      <c r="T237" s="46"/>
    </row>
    <row r="238" ht="22.5" customHeight="1">
      <c r="A238" s="40">
        <v>46207.044148472225</v>
      </c>
      <c r="B238" s="41">
        <v>46206.0</v>
      </c>
      <c r="C238" s="42" t="s">
        <v>22</v>
      </c>
      <c r="D238" s="42" t="s">
        <v>29</v>
      </c>
      <c r="E238" s="42" t="s">
        <v>1144</v>
      </c>
      <c r="F238" s="42" t="s">
        <v>1145</v>
      </c>
      <c r="G238" s="43" t="s">
        <v>1168</v>
      </c>
      <c r="H238" s="42">
        <v>25.0</v>
      </c>
      <c r="J238" s="42">
        <v>1.0</v>
      </c>
      <c r="K238" s="42">
        <v>8.0</v>
      </c>
      <c r="L238" s="43" t="s">
        <v>1169</v>
      </c>
      <c r="M238" s="44" t="s">
        <v>1170</v>
      </c>
      <c r="N238" s="42" t="s">
        <v>1171</v>
      </c>
      <c r="O238" s="43" t="s">
        <v>1172</v>
      </c>
      <c r="P238" s="42">
        <v>3.0</v>
      </c>
      <c r="Q238" s="45"/>
      <c r="R238" s="45"/>
      <c r="S238" s="46"/>
      <c r="T238" s="46"/>
    </row>
    <row r="239" ht="22.5" customHeight="1">
      <c r="A239" s="40">
        <v>46196.93039422454</v>
      </c>
      <c r="B239" s="41">
        <v>46196.0</v>
      </c>
      <c r="C239" s="42" t="s">
        <v>19</v>
      </c>
      <c r="D239" s="42" t="s">
        <v>15</v>
      </c>
      <c r="E239" s="42" t="s">
        <v>1173</v>
      </c>
      <c r="F239" s="42" t="s">
        <v>1174</v>
      </c>
      <c r="G239" s="43" t="s">
        <v>1175</v>
      </c>
      <c r="H239" s="42">
        <v>4.0</v>
      </c>
      <c r="J239" s="42">
        <v>2.0</v>
      </c>
      <c r="K239" s="42">
        <v>2.0</v>
      </c>
      <c r="L239" s="43" t="s">
        <v>1176</v>
      </c>
      <c r="M239" s="48" t="s">
        <v>1177</v>
      </c>
      <c r="N239" s="48" t="s">
        <v>1178</v>
      </c>
      <c r="O239" s="43" t="s">
        <v>1179</v>
      </c>
      <c r="P239" s="42">
        <v>6.0</v>
      </c>
      <c r="Q239" s="45"/>
      <c r="R239" s="45"/>
      <c r="S239" s="46"/>
      <c r="T239" s="46"/>
    </row>
    <row r="240" ht="22.5" customHeight="1">
      <c r="A240" s="40">
        <v>46201.68072423611</v>
      </c>
      <c r="B240" s="41">
        <v>46197.0</v>
      </c>
      <c r="C240" s="42" t="s">
        <v>19</v>
      </c>
      <c r="D240" s="42" t="s">
        <v>15</v>
      </c>
      <c r="E240" s="42" t="s">
        <v>1173</v>
      </c>
      <c r="F240" s="42" t="s">
        <v>1174</v>
      </c>
      <c r="G240" s="43" t="s">
        <v>1180</v>
      </c>
      <c r="H240" s="42">
        <v>10.0</v>
      </c>
      <c r="J240" s="42">
        <v>5.0</v>
      </c>
      <c r="K240" s="42">
        <v>0.0</v>
      </c>
      <c r="L240" s="43" t="s">
        <v>1181</v>
      </c>
      <c r="M240" s="48" t="s">
        <v>1177</v>
      </c>
      <c r="N240" s="48">
        <v>0.0</v>
      </c>
      <c r="O240" s="43" t="s">
        <v>1182</v>
      </c>
      <c r="P240" s="42">
        <v>4.0</v>
      </c>
      <c r="Q240" s="45"/>
      <c r="R240" s="45"/>
      <c r="S240" s="46"/>
      <c r="T240" s="46"/>
    </row>
    <row r="241" ht="22.5" customHeight="1">
      <c r="A241" s="40">
        <v>46201.68625578703</v>
      </c>
      <c r="B241" s="41">
        <v>46198.0</v>
      </c>
      <c r="C241" s="42" t="s">
        <v>19</v>
      </c>
      <c r="D241" s="42" t="s">
        <v>15</v>
      </c>
      <c r="E241" s="42" t="s">
        <v>1173</v>
      </c>
      <c r="F241" s="42" t="s">
        <v>1174</v>
      </c>
      <c r="G241" s="43" t="s">
        <v>1183</v>
      </c>
      <c r="H241" s="42">
        <v>10.0</v>
      </c>
      <c r="J241" s="42">
        <v>3.0</v>
      </c>
      <c r="K241" s="42">
        <v>0.0</v>
      </c>
      <c r="L241" s="43" t="s">
        <v>1184</v>
      </c>
      <c r="M241" s="48" t="s">
        <v>1185</v>
      </c>
      <c r="N241" s="48">
        <v>0.0</v>
      </c>
      <c r="O241" s="43" t="s">
        <v>1186</v>
      </c>
      <c r="P241" s="42">
        <v>3.0</v>
      </c>
      <c r="Q241" s="45"/>
      <c r="R241" s="45"/>
      <c r="S241" s="46"/>
      <c r="T241" s="46"/>
    </row>
    <row r="242" ht="22.5" customHeight="1">
      <c r="A242" s="40">
        <v>46202.74320456019</v>
      </c>
      <c r="B242" s="41">
        <v>46199.0</v>
      </c>
      <c r="C242" s="42" t="s">
        <v>19</v>
      </c>
      <c r="D242" s="42" t="s">
        <v>15</v>
      </c>
      <c r="E242" s="42" t="s">
        <v>1173</v>
      </c>
      <c r="F242" s="42" t="s">
        <v>1174</v>
      </c>
      <c r="G242" s="43" t="s">
        <v>1187</v>
      </c>
      <c r="H242" s="42">
        <v>10.0</v>
      </c>
      <c r="J242" s="42">
        <v>5.0</v>
      </c>
      <c r="K242" s="42">
        <v>0.0</v>
      </c>
      <c r="L242" s="43" t="s">
        <v>1188</v>
      </c>
      <c r="M242" s="51">
        <v>8.95635163254089E63</v>
      </c>
      <c r="N242" s="48">
        <v>0.0</v>
      </c>
      <c r="O242" s="43" t="s">
        <v>1189</v>
      </c>
      <c r="S242" s="47"/>
      <c r="T242" s="47"/>
    </row>
    <row r="243" ht="22.5" customHeight="1">
      <c r="A243" s="40">
        <v>46202.7479771875</v>
      </c>
      <c r="B243" s="41">
        <v>46201.0</v>
      </c>
      <c r="C243" s="42" t="s">
        <v>19</v>
      </c>
      <c r="D243" s="42" t="s">
        <v>15</v>
      </c>
      <c r="E243" s="42" t="s">
        <v>1173</v>
      </c>
      <c r="F243" s="42" t="s">
        <v>1174</v>
      </c>
      <c r="G243" s="43" t="s">
        <v>1190</v>
      </c>
      <c r="H243" s="42">
        <v>15.0</v>
      </c>
      <c r="J243" s="42">
        <v>4.0</v>
      </c>
      <c r="K243" s="42">
        <v>0.0</v>
      </c>
      <c r="L243" s="43" t="s">
        <v>1191</v>
      </c>
      <c r="M243" s="51">
        <v>8.57269555050857E46</v>
      </c>
      <c r="N243" s="48">
        <v>0.0</v>
      </c>
      <c r="O243" s="43" t="s">
        <v>1192</v>
      </c>
      <c r="S243" s="47"/>
      <c r="T243" s="47"/>
    </row>
    <row r="244" ht="22.5" customHeight="1">
      <c r="A244" s="40">
        <v>46203.44524850695</v>
      </c>
      <c r="B244" s="41">
        <v>46202.0</v>
      </c>
      <c r="C244" s="42" t="s">
        <v>19</v>
      </c>
      <c r="D244" s="42" t="s">
        <v>15</v>
      </c>
      <c r="E244" s="42" t="s">
        <v>1173</v>
      </c>
      <c r="F244" s="42" t="s">
        <v>1174</v>
      </c>
      <c r="G244" s="43" t="s">
        <v>1193</v>
      </c>
      <c r="H244" s="42">
        <v>15.0</v>
      </c>
      <c r="J244" s="42">
        <v>5.0</v>
      </c>
      <c r="K244" s="42">
        <v>0.0</v>
      </c>
      <c r="L244" s="43" t="s">
        <v>1194</v>
      </c>
      <c r="M244" s="51">
        <v>8.57269555190857E58</v>
      </c>
      <c r="N244" s="48">
        <v>0.0</v>
      </c>
      <c r="O244" s="43" t="s">
        <v>1195</v>
      </c>
      <c r="S244" s="47"/>
      <c r="T244" s="47"/>
    </row>
    <row r="245" ht="22.5" customHeight="1">
      <c r="A245" s="40">
        <v>46204.50562408565</v>
      </c>
      <c r="B245" s="41">
        <v>46203.0</v>
      </c>
      <c r="C245" s="42" t="s">
        <v>19</v>
      </c>
      <c r="D245" s="42" t="s">
        <v>15</v>
      </c>
      <c r="E245" s="42" t="s">
        <v>1173</v>
      </c>
      <c r="F245" s="42" t="s">
        <v>1174</v>
      </c>
      <c r="G245" s="43" t="s">
        <v>1196</v>
      </c>
      <c r="H245" s="42">
        <v>15.0</v>
      </c>
      <c r="J245" s="42">
        <v>2.0</v>
      </c>
      <c r="K245" s="42">
        <v>0.0</v>
      </c>
      <c r="L245" s="43" t="s">
        <v>1197</v>
      </c>
      <c r="M245" s="48" t="s">
        <v>1198</v>
      </c>
      <c r="N245" s="48">
        <v>0.0</v>
      </c>
      <c r="O245" s="43" t="s">
        <v>1199</v>
      </c>
      <c r="P245" s="42">
        <v>2.0</v>
      </c>
      <c r="Q245" s="45"/>
      <c r="R245" s="45"/>
      <c r="S245" s="57" t="s">
        <v>1200</v>
      </c>
      <c r="T245" s="46"/>
    </row>
    <row r="246" ht="22.5" customHeight="1">
      <c r="A246" s="40">
        <v>46209.40374519676</v>
      </c>
      <c r="B246" s="41">
        <v>46207.0</v>
      </c>
      <c r="C246" s="42" t="s">
        <v>19</v>
      </c>
      <c r="D246" s="42" t="s">
        <v>15</v>
      </c>
      <c r="E246" s="42" t="s">
        <v>1173</v>
      </c>
      <c r="F246" s="42" t="s">
        <v>1174</v>
      </c>
      <c r="G246" s="43" t="s">
        <v>1201</v>
      </c>
      <c r="H246" s="42">
        <v>10.0</v>
      </c>
      <c r="J246" s="42">
        <v>2.0</v>
      </c>
      <c r="K246" s="42">
        <v>2.0</v>
      </c>
      <c r="L246" s="43" t="s">
        <v>1202</v>
      </c>
      <c r="M246" s="50">
        <v>8.57269555320896E22</v>
      </c>
      <c r="N246" s="42" t="s">
        <v>1203</v>
      </c>
      <c r="O246" s="43" t="s">
        <v>1204</v>
      </c>
      <c r="P246" s="42">
        <v>5.0</v>
      </c>
      <c r="Q246" s="45"/>
      <c r="R246" s="45"/>
      <c r="S246" s="46"/>
      <c r="T246" s="46"/>
    </row>
    <row r="247" ht="22.5" customHeight="1">
      <c r="A247" s="40">
        <v>46209.94972591435</v>
      </c>
      <c r="B247" s="41">
        <v>46209.0</v>
      </c>
      <c r="C247" s="42" t="s">
        <v>19</v>
      </c>
      <c r="D247" s="42" t="s">
        <v>15</v>
      </c>
      <c r="E247" s="42" t="s">
        <v>1173</v>
      </c>
      <c r="F247" s="42" t="s">
        <v>1174</v>
      </c>
      <c r="G247" s="43" t="s">
        <v>1205</v>
      </c>
      <c r="H247" s="42">
        <v>20.0</v>
      </c>
      <c r="J247" s="42">
        <v>2.0</v>
      </c>
      <c r="K247" s="42">
        <v>0.0</v>
      </c>
      <c r="L247" s="43" t="s">
        <v>1206</v>
      </c>
      <c r="M247" s="50">
        <v>8.57269055580857E22</v>
      </c>
      <c r="N247" s="42">
        <v>0.0</v>
      </c>
      <c r="O247" s="43" t="s">
        <v>1207</v>
      </c>
      <c r="P247" s="42">
        <v>12.0</v>
      </c>
      <c r="Q247" s="45"/>
      <c r="R247" s="45"/>
      <c r="T247" s="47"/>
    </row>
    <row r="248" ht="22.5" customHeight="1">
      <c r="A248" s="40">
        <v>46210.94702284722</v>
      </c>
      <c r="B248" s="41">
        <v>46210.0</v>
      </c>
      <c r="C248" s="42" t="s">
        <v>19</v>
      </c>
      <c r="D248" s="42" t="s">
        <v>15</v>
      </c>
      <c r="E248" s="42" t="s">
        <v>1173</v>
      </c>
      <c r="F248" s="42" t="s">
        <v>1174</v>
      </c>
      <c r="G248" s="43" t="s">
        <v>1208</v>
      </c>
      <c r="H248" s="42">
        <v>20.0</v>
      </c>
      <c r="J248" s="42">
        <v>3.0</v>
      </c>
      <c r="K248" s="42">
        <v>3.0</v>
      </c>
      <c r="L248" s="43" t="s">
        <v>1209</v>
      </c>
      <c r="M248" s="42" t="s">
        <v>1210</v>
      </c>
      <c r="N248" s="42">
        <v>0.0</v>
      </c>
      <c r="O248" s="43" t="s">
        <v>1211</v>
      </c>
      <c r="P248" s="42">
        <v>11.0</v>
      </c>
      <c r="T248" s="47"/>
    </row>
    <row r="249" ht="22.5" customHeight="1">
      <c r="A249" s="40">
        <v>46206.85518787037</v>
      </c>
      <c r="B249" s="41">
        <v>46206.0</v>
      </c>
      <c r="C249" s="42" t="s">
        <v>16</v>
      </c>
      <c r="D249" s="42" t="s">
        <v>33</v>
      </c>
      <c r="E249" s="42" t="s">
        <v>1212</v>
      </c>
      <c r="F249" s="42" t="s">
        <v>1213</v>
      </c>
      <c r="G249" s="43" t="s">
        <v>1214</v>
      </c>
      <c r="H249" s="42">
        <v>10.0</v>
      </c>
      <c r="J249" s="42">
        <v>0.0</v>
      </c>
      <c r="K249" s="42">
        <v>0.0</v>
      </c>
      <c r="L249" s="43" t="s">
        <v>1215</v>
      </c>
      <c r="M249" s="42">
        <v>0.0</v>
      </c>
      <c r="N249" s="42">
        <v>0.0</v>
      </c>
      <c r="O249" s="43" t="s">
        <v>1216</v>
      </c>
      <c r="P249" s="42">
        <v>0.0</v>
      </c>
      <c r="Q249" s="45"/>
      <c r="R249" s="45"/>
      <c r="S249" s="46"/>
      <c r="T249" s="46"/>
    </row>
    <row r="250" ht="22.5" customHeight="1">
      <c r="A250" s="40">
        <v>46203.69421744213</v>
      </c>
      <c r="B250" s="41">
        <v>46203.0</v>
      </c>
      <c r="C250" s="42" t="s">
        <v>16</v>
      </c>
      <c r="D250" s="42" t="s">
        <v>33</v>
      </c>
      <c r="E250" s="42" t="s">
        <v>1212</v>
      </c>
      <c r="F250" s="42" t="s">
        <v>1217</v>
      </c>
      <c r="G250" s="43" t="s">
        <v>1218</v>
      </c>
      <c r="H250" s="42">
        <v>10.0</v>
      </c>
      <c r="J250" s="42">
        <v>3.0</v>
      </c>
      <c r="K250" s="42">
        <v>0.0</v>
      </c>
      <c r="L250" s="43" t="s">
        <v>1219</v>
      </c>
      <c r="M250" s="48" t="s">
        <v>1220</v>
      </c>
      <c r="N250" s="48">
        <v>0.0</v>
      </c>
      <c r="O250" s="43" t="s">
        <v>1221</v>
      </c>
      <c r="P250" s="42">
        <v>3.0</v>
      </c>
      <c r="Q250" s="45"/>
      <c r="R250" s="45"/>
      <c r="S250" s="46"/>
      <c r="T250" s="46"/>
    </row>
    <row r="251" ht="22.5" customHeight="1">
      <c r="A251" s="40">
        <v>46204.734382615745</v>
      </c>
      <c r="B251" s="41">
        <v>46204.0</v>
      </c>
      <c r="C251" s="42" t="s">
        <v>16</v>
      </c>
      <c r="D251" s="42" t="s">
        <v>33</v>
      </c>
      <c r="E251" s="42" t="s">
        <v>1212</v>
      </c>
      <c r="F251" s="42" t="s">
        <v>1213</v>
      </c>
      <c r="G251" s="43" t="s">
        <v>1222</v>
      </c>
      <c r="H251" s="42">
        <v>5.0</v>
      </c>
      <c r="J251" s="42">
        <v>2.0</v>
      </c>
      <c r="K251" s="42">
        <v>0.0</v>
      </c>
      <c r="L251" s="43" t="s">
        <v>1223</v>
      </c>
      <c r="M251" s="42" t="s">
        <v>1224</v>
      </c>
      <c r="N251" s="42">
        <v>0.0</v>
      </c>
      <c r="O251" s="43" t="s">
        <v>1225</v>
      </c>
      <c r="P251" s="42">
        <v>5.0</v>
      </c>
      <c r="Q251" s="45"/>
      <c r="R251" s="45"/>
      <c r="S251" s="46"/>
      <c r="T251" s="46"/>
    </row>
    <row r="252" ht="22.5" customHeight="1">
      <c r="A252" s="40">
        <v>46205.88098391204</v>
      </c>
      <c r="B252" s="41">
        <v>46205.0</v>
      </c>
      <c r="C252" s="42" t="s">
        <v>16</v>
      </c>
      <c r="D252" s="42" t="s">
        <v>33</v>
      </c>
      <c r="E252" s="42" t="s">
        <v>1212</v>
      </c>
      <c r="F252" s="42" t="s">
        <v>1213</v>
      </c>
      <c r="G252" s="43" t="s">
        <v>1226</v>
      </c>
      <c r="H252" s="42">
        <v>5.0</v>
      </c>
      <c r="J252" s="42">
        <v>3.0</v>
      </c>
      <c r="K252" s="42">
        <v>0.0</v>
      </c>
      <c r="L252" s="43" t="s">
        <v>1227</v>
      </c>
      <c r="M252" s="42" t="s">
        <v>1228</v>
      </c>
      <c r="N252" s="42">
        <v>0.0</v>
      </c>
      <c r="O252" s="43" t="s">
        <v>1229</v>
      </c>
      <c r="P252" s="42">
        <v>2.0</v>
      </c>
      <c r="Q252" s="45"/>
      <c r="R252" s="45"/>
      <c r="S252" s="46"/>
      <c r="T252" s="46"/>
    </row>
    <row r="253" ht="22.5" customHeight="1">
      <c r="A253" s="40">
        <v>46210.88378159722</v>
      </c>
      <c r="B253" s="41">
        <v>46210.0</v>
      </c>
      <c r="C253" s="42" t="s">
        <v>19</v>
      </c>
      <c r="D253" s="42" t="s">
        <v>18</v>
      </c>
      <c r="E253" s="42" t="s">
        <v>1230</v>
      </c>
      <c r="F253" s="42" t="s">
        <v>1231</v>
      </c>
      <c r="G253" s="43" t="s">
        <v>1232</v>
      </c>
      <c r="H253" s="42">
        <v>5.0</v>
      </c>
      <c r="J253" s="42">
        <v>1.0</v>
      </c>
      <c r="K253" s="42">
        <v>1.0</v>
      </c>
      <c r="L253" s="43" t="s">
        <v>1233</v>
      </c>
      <c r="M253" s="42" t="s">
        <v>1234</v>
      </c>
      <c r="N253" s="44" t="s">
        <v>1235</v>
      </c>
      <c r="O253" s="43" t="s">
        <v>1236</v>
      </c>
      <c r="P253" s="42">
        <v>15.0</v>
      </c>
      <c r="T253" s="47"/>
    </row>
    <row r="254" ht="22.5" customHeight="1">
      <c r="A254" s="40">
        <v>46205.74804319444</v>
      </c>
      <c r="B254" s="41">
        <v>46205.0</v>
      </c>
      <c r="C254" s="42" t="s">
        <v>19</v>
      </c>
      <c r="D254" s="42" t="s">
        <v>18</v>
      </c>
      <c r="E254" s="42" t="s">
        <v>1230</v>
      </c>
      <c r="F254" s="42" t="s">
        <v>1231</v>
      </c>
      <c r="G254" s="43" t="s">
        <v>1237</v>
      </c>
      <c r="H254" s="42">
        <v>1.0</v>
      </c>
      <c r="J254" s="42">
        <v>0.0</v>
      </c>
      <c r="K254" s="42">
        <v>0.0</v>
      </c>
      <c r="M254" s="44" t="s">
        <v>1238</v>
      </c>
      <c r="N254" s="42">
        <v>0.0</v>
      </c>
      <c r="O254" s="43" t="s">
        <v>1239</v>
      </c>
      <c r="P254" s="42">
        <v>0.0</v>
      </c>
      <c r="Q254" s="45"/>
      <c r="R254" s="45"/>
      <c r="S254" s="46"/>
      <c r="T254" s="46"/>
    </row>
    <row r="255" ht="22.5" customHeight="1">
      <c r="A255" s="40">
        <v>46206.745489305555</v>
      </c>
      <c r="B255" s="41">
        <v>46206.0</v>
      </c>
      <c r="C255" s="42" t="s">
        <v>19</v>
      </c>
      <c r="D255" s="42" t="s">
        <v>18</v>
      </c>
      <c r="E255" s="42" t="s">
        <v>1230</v>
      </c>
      <c r="F255" s="42" t="s">
        <v>1231</v>
      </c>
      <c r="G255" s="43" t="s">
        <v>1240</v>
      </c>
      <c r="H255" s="42">
        <v>3.0</v>
      </c>
      <c r="J255" s="42">
        <v>0.0</v>
      </c>
      <c r="K255" s="42">
        <v>0.0</v>
      </c>
      <c r="M255" s="42">
        <v>0.0</v>
      </c>
      <c r="N255" s="42">
        <v>0.0</v>
      </c>
      <c r="O255" s="43" t="s">
        <v>1241</v>
      </c>
      <c r="P255" s="42">
        <v>3.0</v>
      </c>
      <c r="Q255" s="45"/>
      <c r="R255" s="45"/>
      <c r="S255" s="46"/>
      <c r="T255" s="46"/>
    </row>
    <row r="256" ht="22.5" customHeight="1">
      <c r="A256" s="40">
        <v>46209.496484375</v>
      </c>
      <c r="B256" s="41">
        <v>46207.0</v>
      </c>
      <c r="C256" s="42" t="s">
        <v>19</v>
      </c>
      <c r="D256" s="42" t="s">
        <v>18</v>
      </c>
      <c r="E256" s="42" t="s">
        <v>1230</v>
      </c>
      <c r="F256" s="42" t="s">
        <v>1231</v>
      </c>
      <c r="G256" s="43" t="s">
        <v>1242</v>
      </c>
      <c r="H256" s="42">
        <v>2.0</v>
      </c>
      <c r="J256" s="42">
        <v>1.0</v>
      </c>
      <c r="K256" s="42">
        <v>1.0</v>
      </c>
      <c r="L256" s="43" t="s">
        <v>1243</v>
      </c>
      <c r="M256" s="44" t="s">
        <v>1244</v>
      </c>
      <c r="N256" s="42" t="s">
        <v>1245</v>
      </c>
      <c r="O256" s="43" t="s">
        <v>1246</v>
      </c>
      <c r="P256" s="42">
        <v>2.0</v>
      </c>
      <c r="Q256" s="45"/>
      <c r="R256" s="45"/>
      <c r="S256" s="46"/>
      <c r="T256" s="46"/>
    </row>
    <row r="257" ht="22.5" customHeight="1">
      <c r="A257" s="40">
        <v>46209.83393607639</v>
      </c>
      <c r="B257" s="41">
        <v>46209.0</v>
      </c>
      <c r="C257" s="42" t="s">
        <v>19</v>
      </c>
      <c r="D257" s="42" t="s">
        <v>18</v>
      </c>
      <c r="E257" s="54" t="s">
        <v>1230</v>
      </c>
      <c r="F257" s="42" t="s">
        <v>1231</v>
      </c>
      <c r="G257" s="43" t="s">
        <v>1247</v>
      </c>
      <c r="H257" s="42">
        <v>5.0</v>
      </c>
      <c r="J257" s="42">
        <v>1.0</v>
      </c>
      <c r="K257" s="42">
        <v>0.0</v>
      </c>
      <c r="M257" s="44" t="s">
        <v>1248</v>
      </c>
      <c r="N257" s="42">
        <v>0.0</v>
      </c>
      <c r="O257" s="43" t="s">
        <v>1249</v>
      </c>
      <c r="P257" s="42">
        <v>5.0</v>
      </c>
      <c r="Q257" s="45"/>
      <c r="R257" s="45"/>
      <c r="T257" s="47"/>
    </row>
    <row r="258" ht="22.5" customHeight="1">
      <c r="A258" s="40">
        <v>46210.98391890046</v>
      </c>
      <c r="B258" s="41">
        <v>46210.0</v>
      </c>
      <c r="C258" s="42" t="s">
        <v>19</v>
      </c>
      <c r="D258" s="42" t="s">
        <v>18</v>
      </c>
      <c r="E258" s="54" t="s">
        <v>1230</v>
      </c>
      <c r="F258" s="42" t="s">
        <v>1231</v>
      </c>
      <c r="G258" s="43" t="s">
        <v>1250</v>
      </c>
      <c r="H258" s="42">
        <v>15.0</v>
      </c>
      <c r="J258" s="42">
        <v>1.0</v>
      </c>
      <c r="K258" s="42">
        <v>1.0</v>
      </c>
      <c r="L258" s="43" t="s">
        <v>1251</v>
      </c>
      <c r="M258" s="42" t="s">
        <v>216</v>
      </c>
      <c r="N258" s="44" t="s">
        <v>1235</v>
      </c>
      <c r="O258" s="43" t="s">
        <v>1252</v>
      </c>
      <c r="P258" s="42">
        <v>5.0</v>
      </c>
      <c r="T258" s="47"/>
    </row>
    <row r="259" ht="22.5" customHeight="1">
      <c r="A259" s="40">
        <v>46202.91018291667</v>
      </c>
      <c r="B259" s="41">
        <v>46202.0</v>
      </c>
      <c r="C259" s="42" t="s">
        <v>19</v>
      </c>
      <c r="D259" s="42" t="s">
        <v>10</v>
      </c>
      <c r="E259" s="42" t="s">
        <v>1253</v>
      </c>
      <c r="F259" s="42" t="s">
        <v>1254</v>
      </c>
      <c r="G259" s="43" t="s">
        <v>1255</v>
      </c>
      <c r="H259" s="42">
        <v>25.0</v>
      </c>
      <c r="J259" s="42">
        <v>1.0</v>
      </c>
      <c r="K259" s="42">
        <v>0.0</v>
      </c>
      <c r="L259" s="43" t="s">
        <v>1256</v>
      </c>
      <c r="M259" s="49" t="s">
        <v>1257</v>
      </c>
      <c r="N259" s="48">
        <v>0.0</v>
      </c>
      <c r="O259" s="43" t="s">
        <v>1258</v>
      </c>
      <c r="P259" s="42">
        <v>1.0</v>
      </c>
      <c r="Q259" s="45"/>
      <c r="R259" s="45"/>
      <c r="S259" s="46"/>
      <c r="T259" s="46"/>
    </row>
    <row r="260" ht="22.5" customHeight="1">
      <c r="A260" s="40">
        <v>46203.91309861111</v>
      </c>
      <c r="B260" s="41">
        <v>46203.0</v>
      </c>
      <c r="C260" s="42" t="s">
        <v>19</v>
      </c>
      <c r="D260" s="42" t="s">
        <v>10</v>
      </c>
      <c r="E260" s="42" t="s">
        <v>1253</v>
      </c>
      <c r="F260" s="42" t="s">
        <v>746</v>
      </c>
      <c r="G260" s="43" t="s">
        <v>1259</v>
      </c>
      <c r="H260" s="42">
        <v>25.0</v>
      </c>
      <c r="J260" s="42">
        <v>1.0</v>
      </c>
      <c r="K260" s="42">
        <v>0.0</v>
      </c>
      <c r="L260" s="43" t="s">
        <v>1260</v>
      </c>
      <c r="M260" s="49" t="s">
        <v>1261</v>
      </c>
      <c r="N260" s="48">
        <v>0.0</v>
      </c>
      <c r="O260" s="43" t="s">
        <v>1262</v>
      </c>
      <c r="P260" s="42">
        <v>1.0</v>
      </c>
      <c r="Q260" s="45"/>
      <c r="R260" s="45"/>
      <c r="S260" s="46"/>
      <c r="T260" s="46"/>
    </row>
    <row r="261" ht="22.5" customHeight="1">
      <c r="A261" s="40">
        <v>46204.917621458335</v>
      </c>
      <c r="B261" s="41">
        <v>46204.0</v>
      </c>
      <c r="C261" s="42" t="s">
        <v>19</v>
      </c>
      <c r="D261" s="42" t="s">
        <v>10</v>
      </c>
      <c r="E261" s="42" t="s">
        <v>1253</v>
      </c>
      <c r="F261" s="42" t="s">
        <v>750</v>
      </c>
      <c r="G261" s="43" t="s">
        <v>1263</v>
      </c>
      <c r="H261" s="42">
        <v>28.0</v>
      </c>
      <c r="J261" s="42">
        <v>6.0</v>
      </c>
      <c r="K261" s="42">
        <v>0.0</v>
      </c>
      <c r="L261" s="43" t="s">
        <v>1264</v>
      </c>
      <c r="M261" s="42" t="s">
        <v>1265</v>
      </c>
      <c r="N261" s="42">
        <v>0.0</v>
      </c>
      <c r="O261" s="43" t="s">
        <v>1266</v>
      </c>
      <c r="P261" s="42">
        <v>6.0</v>
      </c>
      <c r="Q261" s="45"/>
      <c r="R261" s="45"/>
      <c r="S261" s="46"/>
      <c r="T261" s="46"/>
    </row>
    <row r="262" ht="22.5" customHeight="1">
      <c r="A262" s="40">
        <v>46206.90499190972</v>
      </c>
      <c r="B262" s="41">
        <v>46206.0</v>
      </c>
      <c r="C262" s="42" t="s">
        <v>19</v>
      </c>
      <c r="D262" s="42" t="s">
        <v>10</v>
      </c>
      <c r="E262" s="42" t="s">
        <v>1253</v>
      </c>
      <c r="F262" s="42" t="s">
        <v>1267</v>
      </c>
      <c r="G262" s="43" t="s">
        <v>1268</v>
      </c>
      <c r="H262" s="42">
        <v>20.0</v>
      </c>
      <c r="J262" s="42">
        <v>0.0</v>
      </c>
      <c r="K262" s="42">
        <v>0.0</v>
      </c>
      <c r="M262" s="42">
        <v>0.0</v>
      </c>
      <c r="N262" s="42">
        <v>0.0</v>
      </c>
      <c r="O262" s="43" t="s">
        <v>1269</v>
      </c>
      <c r="P262" s="42">
        <v>0.0</v>
      </c>
      <c r="Q262" s="45"/>
      <c r="R262" s="45"/>
      <c r="S262" s="46"/>
      <c r="T262" s="46"/>
    </row>
    <row r="263" ht="22.5" customHeight="1">
      <c r="A263" s="40">
        <v>46210.83935037037</v>
      </c>
      <c r="B263" s="41">
        <v>46210.0</v>
      </c>
      <c r="C263" s="42" t="s">
        <v>19</v>
      </c>
      <c r="D263" s="42" t="s">
        <v>10</v>
      </c>
      <c r="E263" s="42" t="s">
        <v>1253</v>
      </c>
      <c r="F263" s="42" t="s">
        <v>1270</v>
      </c>
      <c r="G263" s="43" t="s">
        <v>1271</v>
      </c>
      <c r="H263" s="42">
        <v>28.0</v>
      </c>
      <c r="J263" s="42">
        <v>0.0</v>
      </c>
      <c r="K263" s="42">
        <v>0.0</v>
      </c>
      <c r="M263" s="42">
        <v>0.0</v>
      </c>
      <c r="N263" s="42">
        <v>0.0</v>
      </c>
      <c r="O263" s="43" t="s">
        <v>1272</v>
      </c>
      <c r="P263" s="42">
        <v>0.0</v>
      </c>
      <c r="T263" s="47"/>
    </row>
    <row r="264" ht="22.5" customHeight="1">
      <c r="A264" s="40">
        <v>46198.91693586805</v>
      </c>
      <c r="B264" s="41">
        <v>36676.0</v>
      </c>
      <c r="C264" s="42" t="s">
        <v>19</v>
      </c>
      <c r="D264" s="42" t="s">
        <v>21</v>
      </c>
      <c r="E264" s="42" t="s">
        <v>1273</v>
      </c>
      <c r="F264" s="42" t="s">
        <v>1274</v>
      </c>
      <c r="G264" s="43" t="s">
        <v>1275</v>
      </c>
      <c r="H264" s="42">
        <v>2.0</v>
      </c>
      <c r="J264" s="42">
        <v>0.0</v>
      </c>
      <c r="K264" s="42">
        <v>20.0</v>
      </c>
      <c r="L264" s="43" t="s">
        <v>1276</v>
      </c>
      <c r="M264" s="48">
        <v>0.0</v>
      </c>
      <c r="N264" s="48">
        <v>0.0</v>
      </c>
      <c r="O264" s="43" t="s">
        <v>1277</v>
      </c>
      <c r="P264" s="45"/>
      <c r="Q264" s="45"/>
      <c r="R264" s="45"/>
      <c r="S264" s="46"/>
      <c r="T264" s="46"/>
    </row>
    <row r="265" ht="22.5" customHeight="1">
      <c r="A265" s="40">
        <v>46200.036368692134</v>
      </c>
      <c r="B265" s="41">
        <v>46199.0</v>
      </c>
      <c r="C265" s="42" t="s">
        <v>19</v>
      </c>
      <c r="D265" s="42" t="s">
        <v>21</v>
      </c>
      <c r="E265" s="42" t="s">
        <v>1273</v>
      </c>
      <c r="F265" s="42" t="s">
        <v>1278</v>
      </c>
      <c r="G265" s="43" t="s">
        <v>1279</v>
      </c>
      <c r="H265" s="42">
        <v>2.0</v>
      </c>
      <c r="J265" s="42">
        <v>0.0</v>
      </c>
      <c r="K265" s="42">
        <v>0.0</v>
      </c>
      <c r="M265" s="48">
        <v>0.0</v>
      </c>
      <c r="N265" s="48">
        <v>0.0</v>
      </c>
      <c r="O265" s="43" t="s">
        <v>1280</v>
      </c>
      <c r="P265" s="45"/>
      <c r="Q265" s="45"/>
      <c r="R265" s="45"/>
      <c r="S265" s="46"/>
      <c r="T265" s="46"/>
    </row>
    <row r="266" ht="22.5" customHeight="1">
      <c r="A266" s="40">
        <v>46202.03684509259</v>
      </c>
      <c r="B266" s="41">
        <v>46201.0</v>
      </c>
      <c r="C266" s="42" t="s">
        <v>19</v>
      </c>
      <c r="D266" s="42" t="s">
        <v>21</v>
      </c>
      <c r="E266" s="42" t="s">
        <v>1273</v>
      </c>
      <c r="F266" s="42" t="s">
        <v>1278</v>
      </c>
      <c r="G266" s="43" t="s">
        <v>1281</v>
      </c>
      <c r="H266" s="42">
        <v>0.0</v>
      </c>
      <c r="J266" s="42">
        <v>17.0</v>
      </c>
      <c r="K266" s="42">
        <v>0.0</v>
      </c>
      <c r="M266" s="48">
        <v>0.0</v>
      </c>
      <c r="N266" s="48">
        <v>0.0</v>
      </c>
      <c r="O266" s="43" t="s">
        <v>1282</v>
      </c>
      <c r="P266" s="45"/>
      <c r="Q266" s="45"/>
      <c r="R266" s="45"/>
      <c r="S266" s="46"/>
      <c r="T266" s="46"/>
    </row>
    <row r="267" ht="22.5" customHeight="1">
      <c r="A267" s="40">
        <v>46203.458897662036</v>
      </c>
      <c r="B267" s="41">
        <v>46202.0</v>
      </c>
      <c r="C267" s="42" t="s">
        <v>19</v>
      </c>
      <c r="D267" s="42" t="s">
        <v>21</v>
      </c>
      <c r="E267" s="42" t="s">
        <v>1273</v>
      </c>
      <c r="F267" s="42" t="s">
        <v>1278</v>
      </c>
      <c r="G267" s="43" t="s">
        <v>1283</v>
      </c>
      <c r="H267" s="42">
        <v>17.0</v>
      </c>
      <c r="J267" s="42">
        <v>17.0</v>
      </c>
      <c r="K267" s="42">
        <v>3.0</v>
      </c>
      <c r="M267" s="48" t="s">
        <v>1284</v>
      </c>
      <c r="N267" s="48">
        <v>0.0</v>
      </c>
      <c r="O267" s="43" t="s">
        <v>1285</v>
      </c>
      <c r="P267" s="42">
        <v>17.0</v>
      </c>
      <c r="Q267" s="45"/>
      <c r="R267" s="45"/>
      <c r="S267" s="46"/>
      <c r="T267" s="46"/>
    </row>
    <row r="268" ht="22.5" customHeight="1">
      <c r="A268" s="40">
        <v>46205.94731752315</v>
      </c>
      <c r="B268" s="41">
        <v>46205.0</v>
      </c>
      <c r="C268" s="42" t="s">
        <v>19</v>
      </c>
      <c r="D268" s="42" t="s">
        <v>21</v>
      </c>
      <c r="E268" s="42" t="s">
        <v>1273</v>
      </c>
      <c r="F268" s="42" t="s">
        <v>1278</v>
      </c>
      <c r="G268" s="43" t="s">
        <v>1286</v>
      </c>
      <c r="H268" s="42">
        <v>0.0</v>
      </c>
      <c r="J268" s="42">
        <v>20.0</v>
      </c>
      <c r="K268" s="42">
        <v>0.0</v>
      </c>
      <c r="M268" s="42" t="s">
        <v>1287</v>
      </c>
      <c r="N268" s="42">
        <v>0.0</v>
      </c>
      <c r="O268" s="43" t="s">
        <v>1288</v>
      </c>
      <c r="P268" s="42">
        <v>0.0</v>
      </c>
      <c r="Q268" s="45"/>
      <c r="R268" s="45"/>
      <c r="S268" s="46"/>
      <c r="T268" s="46"/>
    </row>
    <row r="269" ht="22.5" customHeight="1">
      <c r="A269" s="40">
        <v>46210.45353179398</v>
      </c>
      <c r="B269" s="41">
        <v>46209.0</v>
      </c>
      <c r="C269" s="42" t="s">
        <v>19</v>
      </c>
      <c r="D269" s="42" t="s">
        <v>21</v>
      </c>
      <c r="E269" s="42" t="s">
        <v>1273</v>
      </c>
      <c r="F269" s="42" t="s">
        <v>1278</v>
      </c>
      <c r="G269" s="43" t="s">
        <v>1289</v>
      </c>
      <c r="H269" s="42">
        <v>0.0</v>
      </c>
      <c r="J269" s="42">
        <v>10.0</v>
      </c>
      <c r="K269" s="42">
        <v>0.0</v>
      </c>
      <c r="M269" s="42">
        <v>0.0</v>
      </c>
      <c r="N269" s="42">
        <v>0.0</v>
      </c>
      <c r="O269" s="43" t="s">
        <v>1290</v>
      </c>
      <c r="P269" s="42">
        <v>0.0</v>
      </c>
      <c r="T269" s="47"/>
    </row>
    <row r="270" ht="22.5" customHeight="1">
      <c r="A270" s="40">
        <v>46210.958256342594</v>
      </c>
      <c r="B270" s="41">
        <v>46210.0</v>
      </c>
      <c r="C270" s="42" t="s">
        <v>19</v>
      </c>
      <c r="D270" s="42" t="s">
        <v>21</v>
      </c>
      <c r="E270" s="42" t="s">
        <v>1273</v>
      </c>
      <c r="F270" s="42" t="s">
        <v>1278</v>
      </c>
      <c r="G270" s="43" t="s">
        <v>1291</v>
      </c>
      <c r="H270" s="42">
        <v>0.0</v>
      </c>
      <c r="J270" s="42">
        <v>20.0</v>
      </c>
      <c r="K270" s="42">
        <v>0.0</v>
      </c>
      <c r="M270" s="42">
        <v>0.0</v>
      </c>
      <c r="N270" s="42">
        <v>0.0</v>
      </c>
      <c r="O270" s="43" t="s">
        <v>1292</v>
      </c>
      <c r="P270" s="42">
        <v>0.0</v>
      </c>
      <c r="T270" s="47"/>
    </row>
    <row r="271" ht="22.5" customHeight="1">
      <c r="A271" s="40">
        <v>46210.72225815972</v>
      </c>
      <c r="B271" s="41">
        <v>46210.0</v>
      </c>
      <c r="C271" s="42" t="s">
        <v>19</v>
      </c>
      <c r="D271" s="42" t="s">
        <v>10</v>
      </c>
      <c r="E271" s="42" t="s">
        <v>1293</v>
      </c>
      <c r="F271" s="42" t="s">
        <v>1294</v>
      </c>
      <c r="G271" s="43" t="s">
        <v>1295</v>
      </c>
      <c r="H271" s="42">
        <v>3.0</v>
      </c>
      <c r="J271" s="42" t="s">
        <v>216</v>
      </c>
      <c r="K271" s="42">
        <v>1.0</v>
      </c>
      <c r="L271" s="43" t="s">
        <v>1296</v>
      </c>
      <c r="M271" s="42" t="s">
        <v>216</v>
      </c>
      <c r="N271" s="42" t="s">
        <v>216</v>
      </c>
      <c r="O271" s="43" t="s">
        <v>1297</v>
      </c>
      <c r="P271" s="42">
        <v>2.0</v>
      </c>
      <c r="T271" s="47"/>
    </row>
    <row r="272" ht="22.5" customHeight="1">
      <c r="A272" s="40">
        <v>46202.86180586806</v>
      </c>
      <c r="B272" s="41">
        <v>46202.0</v>
      </c>
      <c r="C272" s="42" t="s">
        <v>22</v>
      </c>
      <c r="D272" s="42" t="s">
        <v>31</v>
      </c>
      <c r="E272" s="42" t="s">
        <v>1298</v>
      </c>
      <c r="F272" s="42" t="s">
        <v>1299</v>
      </c>
      <c r="G272" s="43" t="s">
        <v>1300</v>
      </c>
      <c r="H272" s="42">
        <v>15.0</v>
      </c>
      <c r="J272" s="42">
        <v>4.0</v>
      </c>
      <c r="K272" s="42" t="s">
        <v>216</v>
      </c>
      <c r="L272" s="43" t="s">
        <v>1301</v>
      </c>
      <c r="M272" s="48" t="s">
        <v>1302</v>
      </c>
      <c r="N272" s="48" t="s">
        <v>216</v>
      </c>
      <c r="O272" s="43" t="s">
        <v>1303</v>
      </c>
      <c r="P272" s="42">
        <v>4.0</v>
      </c>
      <c r="Q272" s="45"/>
      <c r="R272" s="45"/>
      <c r="S272" s="46"/>
      <c r="T272" s="46"/>
    </row>
    <row r="273" ht="22.5" customHeight="1">
      <c r="A273" s="40">
        <v>46203.69220384259</v>
      </c>
      <c r="B273" s="41">
        <v>46203.0</v>
      </c>
      <c r="C273" s="42" t="s">
        <v>22</v>
      </c>
      <c r="D273" s="42" t="s">
        <v>31</v>
      </c>
      <c r="E273" s="42" t="s">
        <v>1298</v>
      </c>
      <c r="F273" s="42" t="s">
        <v>1299</v>
      </c>
      <c r="G273" s="43" t="s">
        <v>1304</v>
      </c>
      <c r="H273" s="42">
        <v>25.0</v>
      </c>
      <c r="J273" s="42">
        <v>2.0</v>
      </c>
      <c r="K273" s="42">
        <v>5.0</v>
      </c>
      <c r="L273" s="43" t="s">
        <v>1305</v>
      </c>
      <c r="M273" s="48" t="s">
        <v>1306</v>
      </c>
      <c r="N273" s="48" t="s">
        <v>1307</v>
      </c>
      <c r="O273" s="43" t="s">
        <v>1308</v>
      </c>
      <c r="P273" s="42">
        <v>3.0</v>
      </c>
      <c r="Q273" s="45"/>
      <c r="R273" s="45"/>
      <c r="S273" s="46"/>
      <c r="T273" s="46"/>
    </row>
    <row r="274" ht="22.5" customHeight="1">
      <c r="A274" s="40">
        <v>46204.773127858796</v>
      </c>
      <c r="B274" s="41">
        <v>46204.0</v>
      </c>
      <c r="C274" s="42" t="s">
        <v>22</v>
      </c>
      <c r="D274" s="42" t="s">
        <v>31</v>
      </c>
      <c r="E274" s="42" t="s">
        <v>1298</v>
      </c>
      <c r="F274" s="42" t="s">
        <v>1309</v>
      </c>
      <c r="G274" s="43" t="s">
        <v>1310</v>
      </c>
      <c r="H274" s="42">
        <v>30.0</v>
      </c>
      <c r="J274" s="42">
        <v>1.0</v>
      </c>
      <c r="K274" s="42">
        <v>3.0</v>
      </c>
      <c r="L274" s="43" t="s">
        <v>1311</v>
      </c>
      <c r="M274" s="44" t="s">
        <v>1312</v>
      </c>
      <c r="N274" s="42" t="s">
        <v>1313</v>
      </c>
      <c r="O274" s="43" t="s">
        <v>1314</v>
      </c>
      <c r="P274" s="42">
        <v>10.0</v>
      </c>
      <c r="Q274" s="45"/>
      <c r="R274" s="45"/>
      <c r="S274" s="46"/>
      <c r="T274" s="46"/>
    </row>
    <row r="275" ht="22.5" customHeight="1">
      <c r="A275" s="40">
        <v>46205.712689409724</v>
      </c>
      <c r="B275" s="41">
        <v>46205.0</v>
      </c>
      <c r="C275" s="42" t="s">
        <v>22</v>
      </c>
      <c r="D275" s="42" t="s">
        <v>31</v>
      </c>
      <c r="E275" s="42" t="s">
        <v>1298</v>
      </c>
      <c r="F275" s="42" t="s">
        <v>1299</v>
      </c>
      <c r="G275" s="43" t="s">
        <v>1315</v>
      </c>
      <c r="H275" s="42">
        <v>23.0</v>
      </c>
      <c r="J275" s="42">
        <v>2.0</v>
      </c>
      <c r="K275" s="42">
        <v>3.0</v>
      </c>
      <c r="L275" s="43" t="s">
        <v>1316</v>
      </c>
      <c r="M275" s="42" t="s">
        <v>1317</v>
      </c>
      <c r="N275" s="42" t="s">
        <v>1318</v>
      </c>
      <c r="O275" s="43" t="s">
        <v>1319</v>
      </c>
      <c r="P275" s="42">
        <v>12.0</v>
      </c>
      <c r="Q275" s="45"/>
      <c r="R275" s="45"/>
      <c r="S275" s="46"/>
      <c r="T275" s="46"/>
    </row>
    <row r="276" ht="22.5" customHeight="1">
      <c r="A276" s="40">
        <v>46209.395656759254</v>
      </c>
      <c r="B276" s="41">
        <v>46207.0</v>
      </c>
      <c r="C276" s="42" t="s">
        <v>22</v>
      </c>
      <c r="D276" s="42" t="s">
        <v>31</v>
      </c>
      <c r="E276" s="42" t="s">
        <v>1298</v>
      </c>
      <c r="F276" s="42" t="s">
        <v>1299</v>
      </c>
      <c r="G276" s="43" t="s">
        <v>1320</v>
      </c>
      <c r="H276" s="42">
        <v>38.0</v>
      </c>
      <c r="J276" s="42" t="s">
        <v>216</v>
      </c>
      <c r="K276" s="42">
        <v>1.0</v>
      </c>
      <c r="L276" s="43" t="s">
        <v>1321</v>
      </c>
      <c r="M276" s="42" t="s">
        <v>216</v>
      </c>
      <c r="N276" s="42" t="s">
        <v>1318</v>
      </c>
      <c r="O276" s="43" t="s">
        <v>1322</v>
      </c>
      <c r="P276" s="42">
        <v>17.0</v>
      </c>
      <c r="Q276" s="45"/>
      <c r="R276" s="45"/>
      <c r="S276" s="46"/>
      <c r="T276" s="46"/>
    </row>
    <row r="277" ht="22.5" customHeight="1">
      <c r="A277" s="40">
        <v>46210.70889637731</v>
      </c>
      <c r="B277" s="41">
        <v>46210.0</v>
      </c>
      <c r="C277" s="42" t="s">
        <v>22</v>
      </c>
      <c r="D277" s="42" t="s">
        <v>31</v>
      </c>
      <c r="E277" s="42" t="s">
        <v>1298</v>
      </c>
      <c r="F277" s="42" t="s">
        <v>1309</v>
      </c>
      <c r="G277" s="43" t="s">
        <v>1323</v>
      </c>
      <c r="H277" s="42">
        <v>17.0</v>
      </c>
      <c r="J277" s="42" t="s">
        <v>216</v>
      </c>
      <c r="K277" s="42">
        <v>3.0</v>
      </c>
      <c r="L277" s="43" t="s">
        <v>1324</v>
      </c>
      <c r="M277" s="42" t="s">
        <v>216</v>
      </c>
      <c r="N277" s="42" t="s">
        <v>216</v>
      </c>
      <c r="O277" s="43" t="s">
        <v>1325</v>
      </c>
      <c r="P277" s="42">
        <v>9.0</v>
      </c>
      <c r="T277" s="47"/>
    </row>
    <row r="278" ht="22.5" customHeight="1">
      <c r="A278" s="40">
        <v>46209.37746216435</v>
      </c>
      <c r="B278" s="41">
        <v>46207.0</v>
      </c>
      <c r="C278" s="42" t="s">
        <v>22</v>
      </c>
      <c r="D278" s="42" t="s">
        <v>31</v>
      </c>
      <c r="E278" s="42" t="s">
        <v>1326</v>
      </c>
      <c r="F278" s="42" t="s">
        <v>1327</v>
      </c>
      <c r="G278" s="43" t="s">
        <v>1328</v>
      </c>
      <c r="H278" s="42">
        <v>26.0</v>
      </c>
      <c r="J278" s="42">
        <v>1.0</v>
      </c>
      <c r="K278" s="42">
        <v>1.0</v>
      </c>
      <c r="L278" s="43" t="s">
        <v>1329</v>
      </c>
      <c r="M278" s="44" t="s">
        <v>1330</v>
      </c>
      <c r="N278" s="44" t="s">
        <v>1331</v>
      </c>
      <c r="O278" s="43" t="s">
        <v>1332</v>
      </c>
      <c r="P278" s="42">
        <v>1.0</v>
      </c>
      <c r="Q278" s="45"/>
      <c r="R278" s="45"/>
      <c r="S278" s="46"/>
      <c r="T278" s="46"/>
    </row>
    <row r="279" ht="22.5" customHeight="1">
      <c r="A279" s="40">
        <v>46202.7162516088</v>
      </c>
      <c r="B279" s="41">
        <v>46202.0</v>
      </c>
      <c r="C279" s="42" t="s">
        <v>22</v>
      </c>
      <c r="D279" s="42" t="s">
        <v>31</v>
      </c>
      <c r="E279" s="42" t="s">
        <v>1326</v>
      </c>
      <c r="F279" s="42" t="s">
        <v>1333</v>
      </c>
      <c r="G279" s="43" t="s">
        <v>1334</v>
      </c>
      <c r="H279" s="42">
        <v>1.0</v>
      </c>
      <c r="J279" s="42">
        <v>2.0</v>
      </c>
      <c r="K279" s="42" t="s">
        <v>216</v>
      </c>
      <c r="L279" s="43" t="s">
        <v>1335</v>
      </c>
      <c r="M279" s="48" t="s">
        <v>1336</v>
      </c>
      <c r="N279" s="48" t="s">
        <v>216</v>
      </c>
      <c r="O279" s="43" t="s">
        <v>1337</v>
      </c>
      <c r="P279" s="42">
        <v>2.0</v>
      </c>
      <c r="Q279" s="45"/>
      <c r="R279" s="45"/>
      <c r="S279" s="46"/>
      <c r="T279" s="46"/>
    </row>
    <row r="280" ht="22.5" customHeight="1">
      <c r="A280" s="40">
        <v>46203.69372925926</v>
      </c>
      <c r="B280" s="41">
        <v>46203.0</v>
      </c>
      <c r="C280" s="42" t="s">
        <v>22</v>
      </c>
      <c r="D280" s="42" t="s">
        <v>31</v>
      </c>
      <c r="E280" s="42" t="s">
        <v>1326</v>
      </c>
      <c r="F280" s="42" t="s">
        <v>1333</v>
      </c>
      <c r="G280" s="43" t="s">
        <v>1338</v>
      </c>
      <c r="H280" s="42">
        <v>18.0</v>
      </c>
      <c r="J280" s="42">
        <v>3.0</v>
      </c>
      <c r="K280" s="42">
        <v>1.0</v>
      </c>
      <c r="L280" s="43" t="s">
        <v>1339</v>
      </c>
      <c r="M280" s="48" t="s">
        <v>1340</v>
      </c>
      <c r="N280" s="48" t="s">
        <v>1341</v>
      </c>
      <c r="O280" s="43" t="s">
        <v>1342</v>
      </c>
      <c r="P280" s="42">
        <v>4.0</v>
      </c>
      <c r="Q280" s="45"/>
      <c r="R280" s="45"/>
      <c r="S280" s="46"/>
      <c r="T280" s="46"/>
    </row>
    <row r="281" ht="22.5" customHeight="1">
      <c r="A281" s="40">
        <v>46204.73374287037</v>
      </c>
      <c r="B281" s="41">
        <v>46204.0</v>
      </c>
      <c r="C281" s="42" t="s">
        <v>22</v>
      </c>
      <c r="D281" s="42" t="s">
        <v>31</v>
      </c>
      <c r="E281" s="42" t="s">
        <v>1326</v>
      </c>
      <c r="F281" s="42" t="s">
        <v>1343</v>
      </c>
      <c r="G281" s="43" t="s">
        <v>1344</v>
      </c>
      <c r="H281" s="42">
        <v>20.0</v>
      </c>
      <c r="J281" s="42">
        <v>1.0</v>
      </c>
      <c r="K281" s="42">
        <v>3.0</v>
      </c>
      <c r="L281" s="43" t="s">
        <v>1345</v>
      </c>
      <c r="M281" s="44" t="s">
        <v>1346</v>
      </c>
      <c r="N281" s="42" t="s">
        <v>1347</v>
      </c>
      <c r="O281" s="43" t="s">
        <v>1348</v>
      </c>
      <c r="P281" s="42">
        <v>1.0</v>
      </c>
      <c r="Q281" s="45"/>
      <c r="R281" s="45"/>
      <c r="S281" s="46"/>
      <c r="T281" s="46"/>
    </row>
    <row r="282" ht="22.5" customHeight="1">
      <c r="A282" s="40">
        <v>46205.73261050926</v>
      </c>
      <c r="B282" s="41">
        <v>46205.0</v>
      </c>
      <c r="C282" s="42" t="s">
        <v>22</v>
      </c>
      <c r="D282" s="42" t="s">
        <v>31</v>
      </c>
      <c r="E282" s="42" t="s">
        <v>1326</v>
      </c>
      <c r="F282" s="42" t="s">
        <v>1333</v>
      </c>
      <c r="G282" s="43" t="s">
        <v>1349</v>
      </c>
      <c r="H282" s="42">
        <v>14.0</v>
      </c>
      <c r="J282" s="42">
        <v>1.0</v>
      </c>
      <c r="K282" s="42">
        <v>1.0</v>
      </c>
      <c r="L282" s="43" t="s">
        <v>1350</v>
      </c>
      <c r="M282" s="44" t="s">
        <v>1351</v>
      </c>
      <c r="N282" s="44" t="s">
        <v>1352</v>
      </c>
      <c r="O282" s="43" t="s">
        <v>1353</v>
      </c>
      <c r="P282" s="42">
        <v>2.0</v>
      </c>
      <c r="Q282" s="45"/>
      <c r="R282" s="45"/>
      <c r="S282" s="46"/>
      <c r="T282" s="46"/>
    </row>
    <row r="283" ht="22.5" customHeight="1">
      <c r="A283" s="40">
        <v>46206.79491891204</v>
      </c>
      <c r="B283" s="41">
        <v>46206.0</v>
      </c>
      <c r="C283" s="42" t="s">
        <v>22</v>
      </c>
      <c r="D283" s="42" t="s">
        <v>31</v>
      </c>
      <c r="E283" s="42" t="s">
        <v>1326</v>
      </c>
      <c r="F283" s="42" t="s">
        <v>1333</v>
      </c>
      <c r="G283" s="43" t="s">
        <v>1354</v>
      </c>
      <c r="H283" s="42">
        <v>24.0</v>
      </c>
      <c r="J283" s="42">
        <v>0.0</v>
      </c>
      <c r="K283" s="42">
        <v>0.0</v>
      </c>
      <c r="L283" s="43" t="s">
        <v>1355</v>
      </c>
      <c r="M283" s="42" t="s">
        <v>216</v>
      </c>
      <c r="N283" s="42" t="s">
        <v>216</v>
      </c>
      <c r="O283" s="43" t="s">
        <v>1356</v>
      </c>
      <c r="P283" s="42">
        <v>0.0</v>
      </c>
      <c r="Q283" s="45"/>
      <c r="R283" s="45"/>
      <c r="S283" s="46"/>
      <c r="T283" s="46"/>
    </row>
    <row r="284" ht="22.5" customHeight="1">
      <c r="A284" s="40">
        <v>46209.72495395833</v>
      </c>
      <c r="B284" s="41">
        <v>46209.0</v>
      </c>
      <c r="C284" s="42" t="s">
        <v>22</v>
      </c>
      <c r="D284" s="42" t="s">
        <v>31</v>
      </c>
      <c r="E284" s="42" t="s">
        <v>1326</v>
      </c>
      <c r="F284" s="42" t="s">
        <v>1327</v>
      </c>
      <c r="G284" s="43" t="s">
        <v>1357</v>
      </c>
      <c r="H284" s="42">
        <v>22.0</v>
      </c>
      <c r="J284" s="42">
        <v>1.0</v>
      </c>
      <c r="K284" s="42" t="s">
        <v>216</v>
      </c>
      <c r="L284" s="43" t="s">
        <v>1358</v>
      </c>
      <c r="M284" s="44" t="s">
        <v>1359</v>
      </c>
      <c r="N284" s="42" t="s">
        <v>216</v>
      </c>
      <c r="O284" s="43" t="s">
        <v>1360</v>
      </c>
      <c r="P284" s="42">
        <v>3.0</v>
      </c>
      <c r="Q284" s="45"/>
      <c r="R284" s="45"/>
      <c r="T284" s="47"/>
    </row>
    <row r="285" ht="22.5" customHeight="1">
      <c r="A285" s="40">
        <v>46210.75269648148</v>
      </c>
      <c r="B285" s="41">
        <v>46210.0</v>
      </c>
      <c r="C285" s="42" t="s">
        <v>22</v>
      </c>
      <c r="D285" s="42" t="s">
        <v>31</v>
      </c>
      <c r="E285" s="42" t="s">
        <v>1326</v>
      </c>
      <c r="F285" s="42" t="s">
        <v>1343</v>
      </c>
      <c r="G285" s="43" t="s">
        <v>1361</v>
      </c>
      <c r="H285" s="42">
        <v>20.0</v>
      </c>
      <c r="J285" s="42">
        <v>2.0</v>
      </c>
      <c r="K285" s="42">
        <v>0.0</v>
      </c>
      <c r="L285" s="43" t="s">
        <v>1362</v>
      </c>
      <c r="M285" s="42" t="s">
        <v>1363</v>
      </c>
      <c r="N285" s="42">
        <v>0.0</v>
      </c>
      <c r="O285" s="43" t="s">
        <v>1364</v>
      </c>
      <c r="P285" s="42">
        <v>0.0</v>
      </c>
      <c r="T285" s="47"/>
    </row>
    <row r="286" ht="22.5" customHeight="1">
      <c r="A286" s="58">
        <v>46195.57988903935</v>
      </c>
      <c r="B286" s="59">
        <v>46195.0</v>
      </c>
      <c r="C286" s="57" t="s">
        <v>19</v>
      </c>
      <c r="D286" s="57" t="s">
        <v>10</v>
      </c>
      <c r="E286" s="57" t="s">
        <v>1365</v>
      </c>
      <c r="F286" s="42" t="s">
        <v>1366</v>
      </c>
      <c r="G286" s="60" t="s">
        <v>1367</v>
      </c>
      <c r="H286" s="57">
        <v>5.0</v>
      </c>
      <c r="I286" s="47"/>
      <c r="J286" s="57">
        <v>0.0</v>
      </c>
      <c r="K286" s="57">
        <v>0.0</v>
      </c>
      <c r="L286" s="61" t="s">
        <v>1368</v>
      </c>
      <c r="M286" s="62">
        <v>0.0</v>
      </c>
      <c r="N286" s="62">
        <v>0.0</v>
      </c>
      <c r="O286" s="46"/>
      <c r="P286" s="57">
        <v>0.0</v>
      </c>
      <c r="Q286" s="46"/>
      <c r="R286" s="46"/>
      <c r="S286" s="46"/>
      <c r="T286" s="46"/>
    </row>
    <row r="287" ht="22.5" customHeight="1">
      <c r="A287" s="40">
        <v>46196.899802835644</v>
      </c>
      <c r="B287" s="41">
        <v>46196.0</v>
      </c>
      <c r="C287" s="42" t="s">
        <v>19</v>
      </c>
      <c r="D287" s="42" t="s">
        <v>10</v>
      </c>
      <c r="E287" s="42" t="s">
        <v>1365</v>
      </c>
      <c r="F287" s="42" t="s">
        <v>1369</v>
      </c>
      <c r="G287" s="43" t="s">
        <v>1370</v>
      </c>
      <c r="H287" s="42">
        <v>10.0</v>
      </c>
      <c r="J287" s="42">
        <v>4.0</v>
      </c>
      <c r="K287" s="42">
        <v>0.0</v>
      </c>
      <c r="L287" s="43" t="s">
        <v>1371</v>
      </c>
      <c r="M287" s="48" t="s">
        <v>1372</v>
      </c>
      <c r="N287" s="48">
        <v>0.0</v>
      </c>
      <c r="O287" s="43" t="s">
        <v>1373</v>
      </c>
      <c r="P287" s="42">
        <v>4.0</v>
      </c>
      <c r="Q287" s="45"/>
      <c r="R287" s="45"/>
      <c r="S287" s="46"/>
      <c r="T287" s="46"/>
    </row>
    <row r="288" ht="22.5" customHeight="1">
      <c r="A288" s="40">
        <v>46197.81330435185</v>
      </c>
      <c r="B288" s="41">
        <v>46197.0</v>
      </c>
      <c r="C288" s="42" t="s">
        <v>19</v>
      </c>
      <c r="D288" s="42" t="s">
        <v>10</v>
      </c>
      <c r="E288" s="42" t="s">
        <v>1365</v>
      </c>
      <c r="F288" s="42" t="s">
        <v>1369</v>
      </c>
      <c r="G288" s="43" t="s">
        <v>1374</v>
      </c>
      <c r="H288" s="42">
        <v>13.0</v>
      </c>
      <c r="J288" s="42">
        <v>4.0</v>
      </c>
      <c r="K288" s="42">
        <v>0.0</v>
      </c>
      <c r="L288" s="43" t="s">
        <v>1375</v>
      </c>
      <c r="M288" s="48" t="s">
        <v>1376</v>
      </c>
      <c r="N288" s="48">
        <v>0.0</v>
      </c>
      <c r="O288" s="43" t="s">
        <v>1377</v>
      </c>
      <c r="P288" s="42">
        <v>4.0</v>
      </c>
      <c r="Q288" s="45"/>
      <c r="R288" s="45"/>
      <c r="S288" s="46"/>
      <c r="T288" s="46"/>
    </row>
    <row r="289" ht="22.5" customHeight="1">
      <c r="A289" s="40">
        <v>46198.845557430555</v>
      </c>
      <c r="B289" s="41">
        <v>46198.0</v>
      </c>
      <c r="C289" s="42" t="s">
        <v>19</v>
      </c>
      <c r="D289" s="42" t="s">
        <v>10</v>
      </c>
      <c r="E289" s="42" t="s">
        <v>1365</v>
      </c>
      <c r="F289" s="42" t="s">
        <v>1369</v>
      </c>
      <c r="G289" s="43" t="s">
        <v>1378</v>
      </c>
      <c r="H289" s="42">
        <v>15.0</v>
      </c>
      <c r="J289" s="42">
        <v>3.0</v>
      </c>
      <c r="K289" s="42">
        <v>2.0</v>
      </c>
      <c r="L289" s="43" t="s">
        <v>1379</v>
      </c>
      <c r="M289" s="48" t="s">
        <v>1380</v>
      </c>
      <c r="N289" s="48" t="s">
        <v>1381</v>
      </c>
      <c r="O289" s="43" t="s">
        <v>1382</v>
      </c>
      <c r="P289" s="45"/>
      <c r="Q289" s="45"/>
      <c r="R289" s="45"/>
      <c r="S289" s="46"/>
      <c r="T289" s="46"/>
    </row>
    <row r="290" ht="22.5" customHeight="1">
      <c r="A290" s="40">
        <v>46200.77878313657</v>
      </c>
      <c r="B290" s="41">
        <v>46199.0</v>
      </c>
      <c r="C290" s="42" t="s">
        <v>19</v>
      </c>
      <c r="D290" s="42" t="s">
        <v>10</v>
      </c>
      <c r="E290" s="42" t="s">
        <v>1365</v>
      </c>
      <c r="F290" s="42" t="s">
        <v>1369</v>
      </c>
      <c r="G290" s="43" t="s">
        <v>1383</v>
      </c>
      <c r="H290" s="42">
        <v>15.0</v>
      </c>
      <c r="J290" s="42">
        <v>4.0</v>
      </c>
      <c r="K290" s="42">
        <v>0.0</v>
      </c>
      <c r="L290" s="43" t="s">
        <v>1384</v>
      </c>
      <c r="M290" s="48" t="s">
        <v>1385</v>
      </c>
      <c r="N290" s="48">
        <v>0.0</v>
      </c>
      <c r="O290" s="43" t="s">
        <v>1386</v>
      </c>
      <c r="P290" s="42">
        <v>4.0</v>
      </c>
      <c r="Q290" s="45"/>
      <c r="R290" s="45"/>
      <c r="S290" s="46"/>
      <c r="T290" s="46"/>
    </row>
    <row r="291" ht="22.5" customHeight="1">
      <c r="A291" s="40">
        <v>46200.7807740162</v>
      </c>
      <c r="B291" s="41">
        <v>46200.0</v>
      </c>
      <c r="C291" s="42" t="s">
        <v>19</v>
      </c>
      <c r="D291" s="42" t="s">
        <v>10</v>
      </c>
      <c r="E291" s="42" t="s">
        <v>1365</v>
      </c>
      <c r="F291" s="42" t="s">
        <v>1369</v>
      </c>
      <c r="G291" s="43" t="s">
        <v>1387</v>
      </c>
      <c r="H291" s="42">
        <v>17.0</v>
      </c>
      <c r="J291" s="42">
        <v>4.0</v>
      </c>
      <c r="K291" s="42">
        <v>0.0</v>
      </c>
      <c r="L291" s="43" t="s">
        <v>1388</v>
      </c>
      <c r="M291" s="48" t="s">
        <v>1389</v>
      </c>
      <c r="N291" s="48">
        <v>0.0</v>
      </c>
      <c r="O291" s="43" t="s">
        <v>1390</v>
      </c>
      <c r="P291" s="42">
        <v>4.0</v>
      </c>
      <c r="Q291" s="45"/>
      <c r="R291" s="45"/>
      <c r="S291" s="46"/>
      <c r="T291" s="46"/>
    </row>
    <row r="292" ht="22.5" customHeight="1">
      <c r="A292" s="40">
        <v>46203.894134699076</v>
      </c>
      <c r="B292" s="41">
        <v>46202.0</v>
      </c>
      <c r="C292" s="42" t="s">
        <v>19</v>
      </c>
      <c r="D292" s="42" t="s">
        <v>10</v>
      </c>
      <c r="E292" s="42" t="s">
        <v>1365</v>
      </c>
      <c r="F292" s="42" t="s">
        <v>1366</v>
      </c>
      <c r="G292" s="43" t="s">
        <v>1391</v>
      </c>
      <c r="H292" s="42">
        <v>12.0</v>
      </c>
      <c r="J292" s="42">
        <v>4.0</v>
      </c>
      <c r="K292" s="42">
        <v>1.0</v>
      </c>
      <c r="L292" s="43" t="s">
        <v>1392</v>
      </c>
      <c r="M292" s="48" t="s">
        <v>1393</v>
      </c>
      <c r="N292" s="49" t="s">
        <v>1394</v>
      </c>
      <c r="O292" s="43" t="s">
        <v>1395</v>
      </c>
      <c r="P292" s="42">
        <v>5.0</v>
      </c>
      <c r="Q292" s="45"/>
      <c r="R292" s="45"/>
      <c r="S292" s="46"/>
      <c r="T292" s="46"/>
    </row>
    <row r="293" ht="22.5" customHeight="1">
      <c r="A293" s="40">
        <v>46203.895933692125</v>
      </c>
      <c r="B293" s="41">
        <v>46203.0</v>
      </c>
      <c r="C293" s="42" t="s">
        <v>19</v>
      </c>
      <c r="D293" s="42" t="s">
        <v>10</v>
      </c>
      <c r="E293" s="42" t="s">
        <v>1365</v>
      </c>
      <c r="F293" s="42" t="s">
        <v>1366</v>
      </c>
      <c r="G293" s="43" t="s">
        <v>1396</v>
      </c>
      <c r="H293" s="42">
        <v>17.0</v>
      </c>
      <c r="J293" s="42">
        <v>4.0</v>
      </c>
      <c r="K293" s="42">
        <v>1.0</v>
      </c>
      <c r="L293" s="43" t="s">
        <v>1397</v>
      </c>
      <c r="M293" s="48" t="s">
        <v>1398</v>
      </c>
      <c r="N293" s="49" t="s">
        <v>1399</v>
      </c>
      <c r="O293" s="43" t="s">
        <v>1400</v>
      </c>
      <c r="P293" s="42">
        <v>5.0</v>
      </c>
      <c r="Q293" s="45"/>
      <c r="R293" s="45"/>
      <c r="S293" s="46"/>
      <c r="T293" s="46"/>
    </row>
    <row r="294" ht="22.5" customHeight="1">
      <c r="A294" s="40">
        <v>46205.73514428241</v>
      </c>
      <c r="B294" s="41">
        <v>46204.0</v>
      </c>
      <c r="C294" s="42" t="s">
        <v>19</v>
      </c>
      <c r="D294" s="42" t="s">
        <v>10</v>
      </c>
      <c r="E294" s="42" t="s">
        <v>1365</v>
      </c>
      <c r="F294" s="42" t="s">
        <v>1366</v>
      </c>
      <c r="G294" s="43" t="s">
        <v>1401</v>
      </c>
      <c r="H294" s="42">
        <v>21.0</v>
      </c>
      <c r="J294" s="42">
        <v>4.0</v>
      </c>
      <c r="K294" s="42">
        <v>0.0</v>
      </c>
      <c r="L294" s="43" t="s">
        <v>1402</v>
      </c>
      <c r="M294" s="42" t="s">
        <v>1403</v>
      </c>
      <c r="N294" s="42">
        <v>0.0</v>
      </c>
      <c r="O294" s="43" t="s">
        <v>1404</v>
      </c>
      <c r="P294" s="42">
        <v>4.0</v>
      </c>
      <c r="Q294" s="45"/>
      <c r="R294" s="45"/>
      <c r="S294" s="46"/>
      <c r="T294" s="46"/>
    </row>
    <row r="295" ht="22.5" customHeight="1">
      <c r="A295" s="40">
        <v>46205.738160671295</v>
      </c>
      <c r="B295" s="41">
        <v>46205.0</v>
      </c>
      <c r="C295" s="42" t="s">
        <v>19</v>
      </c>
      <c r="D295" s="42" t="s">
        <v>10</v>
      </c>
      <c r="E295" s="42" t="s">
        <v>1365</v>
      </c>
      <c r="F295" s="42" t="s">
        <v>1366</v>
      </c>
      <c r="G295" s="43" t="s">
        <v>1405</v>
      </c>
      <c r="H295" s="42">
        <v>11.0</v>
      </c>
      <c r="J295" s="42">
        <v>4.0</v>
      </c>
      <c r="K295" s="42">
        <v>0.0</v>
      </c>
      <c r="L295" s="43" t="s">
        <v>1406</v>
      </c>
      <c r="M295" s="42" t="s">
        <v>1407</v>
      </c>
      <c r="N295" s="42">
        <v>0.0</v>
      </c>
      <c r="O295" s="43" t="s">
        <v>1408</v>
      </c>
      <c r="P295" s="42">
        <v>4.0</v>
      </c>
      <c r="Q295" s="45"/>
      <c r="R295" s="45"/>
      <c r="S295" s="46"/>
      <c r="T295" s="46"/>
    </row>
    <row r="296" ht="22.5" customHeight="1">
      <c r="A296" s="40">
        <v>46207.73015886574</v>
      </c>
      <c r="B296" s="41">
        <v>46205.0</v>
      </c>
      <c r="C296" s="42" t="s">
        <v>19</v>
      </c>
      <c r="D296" s="42" t="s">
        <v>10</v>
      </c>
      <c r="E296" s="42" t="s">
        <v>1365</v>
      </c>
      <c r="F296" s="42" t="s">
        <v>1369</v>
      </c>
      <c r="G296" s="43" t="s">
        <v>1409</v>
      </c>
      <c r="H296" s="42">
        <v>11.0</v>
      </c>
      <c r="J296" s="42">
        <v>3.0</v>
      </c>
      <c r="K296" s="42">
        <v>0.0</v>
      </c>
      <c r="L296" s="43" t="s">
        <v>1410</v>
      </c>
      <c r="M296" s="42" t="s">
        <v>1411</v>
      </c>
      <c r="N296" s="42">
        <v>0.0</v>
      </c>
      <c r="O296" s="43" t="s">
        <v>1412</v>
      </c>
      <c r="P296" s="42">
        <v>3.0</v>
      </c>
      <c r="Q296" s="45"/>
      <c r="R296" s="45"/>
      <c r="S296" s="46"/>
      <c r="T296" s="46"/>
    </row>
    <row r="297" ht="22.5" customHeight="1">
      <c r="A297" s="40">
        <v>46210.343235196764</v>
      </c>
      <c r="B297" s="41">
        <v>46206.0</v>
      </c>
      <c r="C297" s="42" t="s">
        <v>19</v>
      </c>
      <c r="D297" s="42" t="s">
        <v>10</v>
      </c>
      <c r="E297" s="42" t="s">
        <v>1413</v>
      </c>
      <c r="F297" s="42" t="s">
        <v>1366</v>
      </c>
      <c r="G297" s="43" t="s">
        <v>1414</v>
      </c>
      <c r="H297" s="42">
        <v>11.0</v>
      </c>
      <c r="J297" s="42">
        <v>3.0</v>
      </c>
      <c r="K297" s="42">
        <v>1.0</v>
      </c>
      <c r="L297" s="43" t="s">
        <v>1415</v>
      </c>
      <c r="M297" s="42" t="s">
        <v>1416</v>
      </c>
      <c r="N297" s="44" t="s">
        <v>1394</v>
      </c>
      <c r="O297" s="43" t="s">
        <v>1417</v>
      </c>
      <c r="P297" s="42">
        <v>3.0</v>
      </c>
      <c r="Q297" s="45"/>
      <c r="R297" s="45"/>
      <c r="T297" s="47"/>
    </row>
    <row r="298" ht="22.5" customHeight="1">
      <c r="A298" s="40">
        <v>46210.34571571759</v>
      </c>
      <c r="B298" s="41">
        <v>46207.0</v>
      </c>
      <c r="C298" s="42" t="s">
        <v>19</v>
      </c>
      <c r="D298" s="42" t="s">
        <v>10</v>
      </c>
      <c r="E298" s="42" t="s">
        <v>1365</v>
      </c>
      <c r="F298" s="42" t="s">
        <v>1366</v>
      </c>
      <c r="G298" s="43" t="s">
        <v>1418</v>
      </c>
      <c r="H298" s="42">
        <v>28.0</v>
      </c>
      <c r="J298" s="42">
        <v>4.0</v>
      </c>
      <c r="K298" s="42">
        <v>0.0</v>
      </c>
      <c r="L298" s="43" t="s">
        <v>1419</v>
      </c>
      <c r="M298" s="42" t="s">
        <v>1420</v>
      </c>
      <c r="N298" s="42">
        <v>0.0</v>
      </c>
      <c r="O298" s="43" t="s">
        <v>1421</v>
      </c>
      <c r="P298" s="42">
        <v>10.0</v>
      </c>
      <c r="Q298" s="45"/>
      <c r="R298" s="45"/>
      <c r="T298" s="47"/>
    </row>
    <row r="299" ht="22.5" customHeight="1">
      <c r="A299" s="40">
        <v>46210.347685810186</v>
      </c>
      <c r="B299" s="41">
        <v>46209.0</v>
      </c>
      <c r="C299" s="42" t="s">
        <v>19</v>
      </c>
      <c r="D299" s="42" t="s">
        <v>10</v>
      </c>
      <c r="E299" s="42" t="s">
        <v>1413</v>
      </c>
      <c r="F299" s="42" t="s">
        <v>1366</v>
      </c>
      <c r="G299" s="43" t="s">
        <v>1422</v>
      </c>
      <c r="H299" s="42">
        <v>21.0</v>
      </c>
      <c r="J299" s="42">
        <v>2.0</v>
      </c>
      <c r="K299" s="42">
        <v>2.0</v>
      </c>
      <c r="L299" s="43" t="s">
        <v>1423</v>
      </c>
      <c r="M299" s="42" t="s">
        <v>1424</v>
      </c>
      <c r="N299" s="42" t="s">
        <v>1425</v>
      </c>
      <c r="O299" s="43" t="s">
        <v>1426</v>
      </c>
      <c r="P299" s="42">
        <v>5.0</v>
      </c>
      <c r="Q299" s="45"/>
      <c r="R299" s="45"/>
      <c r="T299" s="47"/>
    </row>
    <row r="300" ht="22.5" customHeight="1">
      <c r="A300" s="40">
        <v>46210.84800744213</v>
      </c>
      <c r="B300" s="41">
        <v>46210.0</v>
      </c>
      <c r="C300" s="42" t="s">
        <v>19</v>
      </c>
      <c r="D300" s="42" t="s">
        <v>10</v>
      </c>
      <c r="E300" s="42" t="s">
        <v>1365</v>
      </c>
      <c r="F300" s="42" t="s">
        <v>1366</v>
      </c>
      <c r="G300" s="43" t="s">
        <v>1427</v>
      </c>
      <c r="H300" s="42">
        <v>11.0</v>
      </c>
      <c r="J300" s="42">
        <v>2.0</v>
      </c>
      <c r="K300" s="42">
        <v>0.0</v>
      </c>
      <c r="L300" s="43" t="s">
        <v>1428</v>
      </c>
      <c r="M300" s="42" t="s">
        <v>1429</v>
      </c>
      <c r="N300" s="42">
        <v>0.0</v>
      </c>
      <c r="O300" s="43" t="s">
        <v>1430</v>
      </c>
      <c r="P300" s="42">
        <v>4.0</v>
      </c>
      <c r="T300" s="47"/>
    </row>
    <row r="301" ht="22.5" customHeight="1">
      <c r="A301" s="40">
        <v>46204.83768672454</v>
      </c>
      <c r="B301" s="41">
        <v>46204.0</v>
      </c>
      <c r="C301" s="42" t="s">
        <v>19</v>
      </c>
      <c r="D301" s="42" t="s">
        <v>21</v>
      </c>
      <c r="E301" s="63" t="s">
        <v>1431</v>
      </c>
      <c r="F301" s="42" t="s">
        <v>1432</v>
      </c>
      <c r="G301" s="43" t="s">
        <v>1433</v>
      </c>
      <c r="H301" s="42">
        <v>20.0</v>
      </c>
      <c r="J301" s="42">
        <v>1.0</v>
      </c>
      <c r="K301" s="42">
        <v>0.0</v>
      </c>
      <c r="L301" s="43" t="s">
        <v>1434</v>
      </c>
      <c r="M301" s="44" t="s">
        <v>1435</v>
      </c>
      <c r="N301" s="42">
        <v>0.0</v>
      </c>
      <c r="O301" s="43" t="s">
        <v>1436</v>
      </c>
      <c r="P301" s="42">
        <v>1.0</v>
      </c>
      <c r="Q301" s="45"/>
      <c r="R301" s="45"/>
      <c r="S301" s="46"/>
      <c r="T301" s="46"/>
    </row>
    <row r="302" ht="22.5" customHeight="1">
      <c r="A302" s="40">
        <v>46209.820814189814</v>
      </c>
      <c r="B302" s="41">
        <v>46209.0</v>
      </c>
      <c r="C302" s="42" t="s">
        <v>19</v>
      </c>
      <c r="D302" s="42" t="s">
        <v>21</v>
      </c>
      <c r="E302" s="63" t="s">
        <v>1431</v>
      </c>
      <c r="F302" s="42" t="s">
        <v>1432</v>
      </c>
      <c r="G302" s="43" t="s">
        <v>1437</v>
      </c>
      <c r="H302" s="42">
        <v>20.0</v>
      </c>
      <c r="J302" s="42">
        <v>0.0</v>
      </c>
      <c r="K302" s="42">
        <v>0.0</v>
      </c>
      <c r="M302" s="42">
        <v>0.0</v>
      </c>
      <c r="N302" s="42">
        <v>0.0</v>
      </c>
      <c r="O302" s="43" t="s">
        <v>1438</v>
      </c>
      <c r="P302" s="42">
        <v>0.0</v>
      </c>
      <c r="Q302" s="45"/>
      <c r="R302" s="45"/>
      <c r="T302" s="47"/>
    </row>
    <row r="303" ht="22.5" customHeight="1">
      <c r="A303" s="40">
        <v>46209.844208553244</v>
      </c>
      <c r="B303" s="41">
        <v>46209.0</v>
      </c>
      <c r="C303" s="42" t="s">
        <v>19</v>
      </c>
      <c r="D303" s="42" t="s">
        <v>21</v>
      </c>
      <c r="E303" s="42" t="s">
        <v>1431</v>
      </c>
      <c r="F303" s="42" t="s">
        <v>1432</v>
      </c>
      <c r="G303" s="43" t="s">
        <v>1439</v>
      </c>
      <c r="H303" s="42">
        <v>20.0</v>
      </c>
      <c r="J303" s="42">
        <v>0.0</v>
      </c>
      <c r="K303" s="42">
        <v>0.0</v>
      </c>
      <c r="M303" s="42">
        <v>0.0</v>
      </c>
      <c r="N303" s="42">
        <v>0.0</v>
      </c>
      <c r="O303" s="43" t="s">
        <v>1440</v>
      </c>
      <c r="P303" s="42">
        <v>0.0</v>
      </c>
      <c r="Q303" s="45"/>
      <c r="R303" s="45"/>
      <c r="T303" s="47"/>
    </row>
    <row r="304" ht="22.5" customHeight="1">
      <c r="A304" s="40">
        <v>46206.86579693287</v>
      </c>
      <c r="B304" s="41">
        <v>46206.0</v>
      </c>
      <c r="C304" s="42" t="s">
        <v>22</v>
      </c>
      <c r="D304" s="42" t="s">
        <v>26</v>
      </c>
      <c r="E304" s="42" t="s">
        <v>1441</v>
      </c>
      <c r="F304" s="42" t="s">
        <v>1442</v>
      </c>
      <c r="G304" s="43" t="s">
        <v>1443</v>
      </c>
      <c r="H304" s="42">
        <v>20.0</v>
      </c>
      <c r="J304" s="42">
        <v>3.0</v>
      </c>
      <c r="K304" s="42">
        <v>6.0</v>
      </c>
      <c r="L304" s="43" t="s">
        <v>1444</v>
      </c>
      <c r="M304" s="42">
        <v>1.0</v>
      </c>
      <c r="N304" s="42" t="s">
        <v>1445</v>
      </c>
      <c r="O304" s="43" t="s">
        <v>1446</v>
      </c>
      <c r="P304" s="42">
        <v>5.0</v>
      </c>
      <c r="Q304" s="45"/>
      <c r="R304" s="45"/>
      <c r="S304" s="46"/>
      <c r="T304" s="46"/>
    </row>
    <row r="305" ht="22.5" customHeight="1">
      <c r="A305" s="40">
        <v>46206.87043462963</v>
      </c>
      <c r="B305" s="41">
        <v>46206.0</v>
      </c>
      <c r="C305" s="42" t="s">
        <v>22</v>
      </c>
      <c r="D305" s="42" t="s">
        <v>26</v>
      </c>
      <c r="E305" s="42" t="s">
        <v>1441</v>
      </c>
      <c r="F305" s="42" t="s">
        <v>1447</v>
      </c>
      <c r="G305" s="43" t="s">
        <v>1448</v>
      </c>
      <c r="H305" s="42">
        <v>20.0</v>
      </c>
      <c r="J305" s="42">
        <v>3.0</v>
      </c>
      <c r="K305" s="42">
        <v>6.0</v>
      </c>
      <c r="L305" s="43" t="s">
        <v>1449</v>
      </c>
      <c r="M305" s="42" t="s">
        <v>1450</v>
      </c>
      <c r="N305" s="42" t="s">
        <v>1451</v>
      </c>
      <c r="O305" s="43" t="s">
        <v>1452</v>
      </c>
      <c r="P305" s="42">
        <v>5.0</v>
      </c>
      <c r="Q305" s="45"/>
      <c r="R305" s="45"/>
      <c r="S305" s="46"/>
      <c r="T305" s="46"/>
    </row>
    <row r="306" ht="22.5" customHeight="1">
      <c r="A306" s="40">
        <v>46209.40644416667</v>
      </c>
      <c r="B306" s="41">
        <v>46207.0</v>
      </c>
      <c r="C306" s="42" t="s">
        <v>22</v>
      </c>
      <c r="D306" s="42" t="s">
        <v>26</v>
      </c>
      <c r="E306" s="42" t="s">
        <v>1441</v>
      </c>
      <c r="F306" s="42" t="s">
        <v>1453</v>
      </c>
      <c r="G306" s="43" t="s">
        <v>1454</v>
      </c>
      <c r="H306" s="42">
        <v>21.0</v>
      </c>
      <c r="J306" s="42">
        <v>3.0</v>
      </c>
      <c r="K306" s="42">
        <v>5.0</v>
      </c>
      <c r="L306" s="43" t="s">
        <v>1455</v>
      </c>
      <c r="M306" s="42" t="s">
        <v>1456</v>
      </c>
      <c r="N306" s="42" t="s">
        <v>1457</v>
      </c>
      <c r="O306" s="43" t="s">
        <v>1458</v>
      </c>
      <c r="P306" s="42">
        <v>5.0</v>
      </c>
      <c r="Q306" s="45"/>
      <c r="R306" s="45"/>
      <c r="S306" s="46"/>
      <c r="T306" s="46"/>
    </row>
    <row r="307" ht="22.5" customHeight="1">
      <c r="A307" s="40">
        <v>46209.76524552083</v>
      </c>
      <c r="B307" s="41">
        <v>46209.0</v>
      </c>
      <c r="C307" s="42" t="s">
        <v>22</v>
      </c>
      <c r="D307" s="42" t="s">
        <v>26</v>
      </c>
      <c r="E307" s="42" t="s">
        <v>1441</v>
      </c>
      <c r="F307" s="42" t="s">
        <v>1442</v>
      </c>
      <c r="G307" s="43" t="s">
        <v>1459</v>
      </c>
      <c r="H307" s="42">
        <v>20.0</v>
      </c>
      <c r="J307" s="42">
        <v>1.0</v>
      </c>
      <c r="K307" s="42">
        <v>14.0</v>
      </c>
      <c r="L307" s="43" t="s">
        <v>1460</v>
      </c>
      <c r="M307" s="44" t="s">
        <v>1461</v>
      </c>
      <c r="N307" s="42" t="s">
        <v>1462</v>
      </c>
      <c r="O307" s="43" t="s">
        <v>1463</v>
      </c>
      <c r="P307" s="42">
        <v>5.0</v>
      </c>
      <c r="Q307" s="45"/>
      <c r="R307" s="45"/>
      <c r="T307" s="47"/>
    </row>
    <row r="308" ht="22.5" customHeight="1">
      <c r="A308" s="40">
        <v>46196.788276493055</v>
      </c>
      <c r="B308" s="41">
        <v>46196.0</v>
      </c>
      <c r="C308" s="42" t="s">
        <v>22</v>
      </c>
      <c r="D308" s="42" t="s">
        <v>26</v>
      </c>
      <c r="E308" s="42" t="s">
        <v>1441</v>
      </c>
      <c r="F308" s="42" t="s">
        <v>1442</v>
      </c>
      <c r="G308" s="43" t="s">
        <v>1464</v>
      </c>
      <c r="H308" s="42">
        <v>2.0</v>
      </c>
      <c r="J308" s="42">
        <v>1.0</v>
      </c>
      <c r="K308" s="42">
        <v>0.0</v>
      </c>
      <c r="L308" s="43" t="s">
        <v>1465</v>
      </c>
      <c r="M308" s="49" t="s">
        <v>1466</v>
      </c>
      <c r="N308" s="48" t="s">
        <v>216</v>
      </c>
      <c r="O308" s="43" t="s">
        <v>1467</v>
      </c>
      <c r="P308" s="42">
        <v>1.0</v>
      </c>
      <c r="Q308" s="45"/>
      <c r="R308" s="45"/>
      <c r="S308" s="46"/>
      <c r="T308" s="46"/>
    </row>
    <row r="309" ht="22.5" customHeight="1">
      <c r="A309" s="40">
        <v>46198.00774056713</v>
      </c>
      <c r="B309" s="41">
        <v>46197.0</v>
      </c>
      <c r="C309" s="42" t="s">
        <v>22</v>
      </c>
      <c r="D309" s="42" t="s">
        <v>26</v>
      </c>
      <c r="E309" s="42" t="s">
        <v>1441</v>
      </c>
      <c r="F309" s="42" t="s">
        <v>1442</v>
      </c>
      <c r="G309" s="43" t="s">
        <v>1468</v>
      </c>
      <c r="H309" s="42">
        <v>7.0</v>
      </c>
      <c r="J309" s="42">
        <v>0.0</v>
      </c>
      <c r="K309" s="42">
        <v>1.0</v>
      </c>
      <c r="L309" s="43" t="s">
        <v>1469</v>
      </c>
      <c r="M309" s="48">
        <v>0.0</v>
      </c>
      <c r="N309" s="49" t="s">
        <v>1470</v>
      </c>
      <c r="O309" s="43" t="s">
        <v>1471</v>
      </c>
      <c r="P309" s="42">
        <v>1.0</v>
      </c>
      <c r="Q309" s="45"/>
      <c r="R309" s="45"/>
      <c r="S309" s="46"/>
      <c r="T309" s="46"/>
    </row>
    <row r="310" ht="22.5" customHeight="1">
      <c r="A310" s="40">
        <v>46199.22524565972</v>
      </c>
      <c r="B310" s="41">
        <v>46199.0</v>
      </c>
      <c r="C310" s="42" t="s">
        <v>22</v>
      </c>
      <c r="D310" s="42" t="s">
        <v>26</v>
      </c>
      <c r="E310" s="42" t="s">
        <v>1441</v>
      </c>
      <c r="F310" s="42" t="s">
        <v>1442</v>
      </c>
      <c r="G310" s="43" t="s">
        <v>1472</v>
      </c>
      <c r="H310" s="42">
        <v>6.0</v>
      </c>
      <c r="J310" s="42">
        <v>1.0</v>
      </c>
      <c r="K310" s="42">
        <v>0.0</v>
      </c>
      <c r="L310" s="43" t="s">
        <v>1473</v>
      </c>
      <c r="M310" s="49" t="s">
        <v>1474</v>
      </c>
      <c r="N310" s="48">
        <v>0.0</v>
      </c>
      <c r="O310" s="43" t="s">
        <v>1475</v>
      </c>
      <c r="P310" s="42">
        <v>1.0</v>
      </c>
      <c r="Q310" s="45"/>
      <c r="R310" s="45"/>
      <c r="S310" s="46"/>
      <c r="T310" s="46"/>
    </row>
    <row r="311" ht="22.5" customHeight="1">
      <c r="A311" s="40">
        <v>46199.72737957176</v>
      </c>
      <c r="B311" s="41">
        <v>46199.0</v>
      </c>
      <c r="C311" s="42" t="s">
        <v>22</v>
      </c>
      <c r="D311" s="42" t="s">
        <v>26</v>
      </c>
      <c r="E311" s="42" t="s">
        <v>1441</v>
      </c>
      <c r="F311" s="42" t="s">
        <v>1476</v>
      </c>
      <c r="G311" s="43" t="s">
        <v>1477</v>
      </c>
      <c r="H311" s="42">
        <v>8.0</v>
      </c>
      <c r="J311" s="42">
        <v>4.0</v>
      </c>
      <c r="K311" s="42">
        <v>8.0</v>
      </c>
      <c r="L311" s="43" t="s">
        <v>1478</v>
      </c>
      <c r="M311" s="48" t="s">
        <v>1479</v>
      </c>
      <c r="N311" s="48" t="s">
        <v>1480</v>
      </c>
      <c r="O311" s="43" t="s">
        <v>1481</v>
      </c>
      <c r="P311" s="42">
        <v>12.0</v>
      </c>
      <c r="Q311" s="45"/>
      <c r="R311" s="45"/>
      <c r="S311" s="46"/>
      <c r="T311" s="46"/>
    </row>
    <row r="312" ht="22.5" customHeight="1">
      <c r="A312" s="40">
        <v>46201.462930497684</v>
      </c>
      <c r="B312" s="41">
        <v>46200.0</v>
      </c>
      <c r="C312" s="42" t="s">
        <v>22</v>
      </c>
      <c r="D312" s="42" t="s">
        <v>26</v>
      </c>
      <c r="E312" s="42" t="s">
        <v>1441</v>
      </c>
      <c r="F312" s="42" t="s">
        <v>1476</v>
      </c>
      <c r="G312" s="43" t="s">
        <v>1482</v>
      </c>
      <c r="H312" s="42">
        <v>7.0</v>
      </c>
      <c r="J312" s="42">
        <v>2.0</v>
      </c>
      <c r="K312" s="42">
        <v>8.0</v>
      </c>
      <c r="L312" s="43" t="s">
        <v>1483</v>
      </c>
      <c r="M312" s="48" t="s">
        <v>1484</v>
      </c>
      <c r="N312" s="48" t="s">
        <v>1485</v>
      </c>
      <c r="O312" s="43" t="s">
        <v>1486</v>
      </c>
      <c r="P312" s="42">
        <v>11.0</v>
      </c>
      <c r="Q312" s="45"/>
      <c r="R312" s="45"/>
      <c r="S312" s="46"/>
      <c r="T312" s="46"/>
    </row>
    <row r="313" ht="22.5" customHeight="1">
      <c r="A313" s="40">
        <v>46203.35069605324</v>
      </c>
      <c r="B313" s="41">
        <v>46202.0</v>
      </c>
      <c r="C313" s="42" t="s">
        <v>22</v>
      </c>
      <c r="D313" s="42" t="s">
        <v>26</v>
      </c>
      <c r="E313" s="42" t="s">
        <v>1441</v>
      </c>
      <c r="F313" s="42" t="s">
        <v>1442</v>
      </c>
      <c r="G313" s="43" t="s">
        <v>1487</v>
      </c>
      <c r="H313" s="42">
        <v>9.0</v>
      </c>
      <c r="J313" s="42">
        <v>1.0</v>
      </c>
      <c r="K313" s="42">
        <v>11.0</v>
      </c>
      <c r="L313" s="43" t="s">
        <v>1488</v>
      </c>
      <c r="M313" s="49" t="s">
        <v>1489</v>
      </c>
      <c r="N313" s="48" t="s">
        <v>1490</v>
      </c>
      <c r="O313" s="43" t="s">
        <v>1491</v>
      </c>
      <c r="P313" s="42">
        <v>12.0</v>
      </c>
      <c r="Q313" s="45"/>
      <c r="R313" s="45"/>
      <c r="S313" s="46"/>
      <c r="T313" s="46"/>
    </row>
    <row r="314" ht="22.5" customHeight="1">
      <c r="A314" s="40">
        <v>46203.82747836805</v>
      </c>
      <c r="B314" s="41">
        <v>46203.0</v>
      </c>
      <c r="C314" s="42" t="s">
        <v>22</v>
      </c>
      <c r="D314" s="42" t="s">
        <v>26</v>
      </c>
      <c r="E314" s="42" t="s">
        <v>1441</v>
      </c>
      <c r="F314" s="42" t="s">
        <v>1476</v>
      </c>
      <c r="G314" s="43" t="s">
        <v>1492</v>
      </c>
      <c r="H314" s="42">
        <v>6.0</v>
      </c>
      <c r="J314" s="42">
        <v>2.0</v>
      </c>
      <c r="K314" s="42">
        <v>1.0</v>
      </c>
      <c r="L314" s="43" t="s">
        <v>1493</v>
      </c>
      <c r="M314" s="48" t="s">
        <v>1494</v>
      </c>
      <c r="N314" s="49" t="s">
        <v>1495</v>
      </c>
      <c r="O314" s="43" t="s">
        <v>1496</v>
      </c>
      <c r="P314" s="42">
        <v>4.0</v>
      </c>
      <c r="Q314" s="45"/>
      <c r="R314" s="45"/>
      <c r="S314" s="46"/>
      <c r="T314" s="46"/>
    </row>
    <row r="315" ht="22.5" customHeight="1">
      <c r="A315" s="40">
        <v>46204.7527480787</v>
      </c>
      <c r="B315" s="41">
        <v>46204.0</v>
      </c>
      <c r="C315" s="42" t="s">
        <v>22</v>
      </c>
      <c r="D315" s="42" t="s">
        <v>26</v>
      </c>
      <c r="E315" s="42" t="s">
        <v>1441</v>
      </c>
      <c r="F315" s="42" t="s">
        <v>1476</v>
      </c>
      <c r="G315" s="43" t="s">
        <v>1497</v>
      </c>
      <c r="H315" s="42">
        <v>8.0</v>
      </c>
      <c r="J315" s="42">
        <v>0.0</v>
      </c>
      <c r="K315" s="42">
        <v>10.0</v>
      </c>
      <c r="L315" s="43" t="s">
        <v>1498</v>
      </c>
      <c r="M315" s="42">
        <v>0.0</v>
      </c>
      <c r="N315" s="42" t="s">
        <v>1499</v>
      </c>
      <c r="O315" s="43" t="s">
        <v>1500</v>
      </c>
      <c r="P315" s="42">
        <v>2.0</v>
      </c>
      <c r="Q315" s="45"/>
      <c r="R315" s="45"/>
      <c r="S315" s="46"/>
      <c r="T315" s="46"/>
    </row>
    <row r="316" ht="22.5" customHeight="1">
      <c r="A316" s="40">
        <v>46205.85657125</v>
      </c>
      <c r="B316" s="41">
        <v>46205.0</v>
      </c>
      <c r="C316" s="42" t="s">
        <v>22</v>
      </c>
      <c r="D316" s="42" t="s">
        <v>26</v>
      </c>
      <c r="E316" s="42" t="s">
        <v>1441</v>
      </c>
      <c r="F316" s="42" t="s">
        <v>1476</v>
      </c>
      <c r="G316" s="43" t="s">
        <v>1501</v>
      </c>
      <c r="H316" s="42">
        <v>21.0</v>
      </c>
      <c r="J316" s="42">
        <v>2.0</v>
      </c>
      <c r="K316" s="42">
        <v>5.0</v>
      </c>
      <c r="L316" s="43" t="s">
        <v>1502</v>
      </c>
      <c r="M316" s="42" t="s">
        <v>1503</v>
      </c>
      <c r="N316" s="42" t="s">
        <v>1504</v>
      </c>
      <c r="O316" s="43" t="s">
        <v>1505</v>
      </c>
      <c r="P316" s="42">
        <v>5.0</v>
      </c>
      <c r="Q316" s="45"/>
      <c r="R316" s="45"/>
      <c r="S316" s="46"/>
      <c r="T316" s="46"/>
    </row>
    <row r="317" ht="22.5" customHeight="1">
      <c r="A317" s="40">
        <v>46210.82436991898</v>
      </c>
      <c r="B317" s="41">
        <v>46210.0</v>
      </c>
      <c r="C317" s="42" t="s">
        <v>22</v>
      </c>
      <c r="D317" s="42" t="s">
        <v>26</v>
      </c>
      <c r="E317" s="42" t="s">
        <v>1441</v>
      </c>
      <c r="F317" s="42" t="s">
        <v>1442</v>
      </c>
      <c r="G317" s="43" t="s">
        <v>1506</v>
      </c>
      <c r="H317" s="42">
        <v>20.0</v>
      </c>
      <c r="J317" s="42">
        <v>3.0</v>
      </c>
      <c r="K317" s="42">
        <v>5.0</v>
      </c>
      <c r="L317" s="43" t="s">
        <v>1507</v>
      </c>
      <c r="M317" s="42" t="s">
        <v>1508</v>
      </c>
      <c r="N317" s="42" t="s">
        <v>1509</v>
      </c>
      <c r="O317" s="43" t="s">
        <v>1510</v>
      </c>
      <c r="P317" s="42">
        <v>5.0</v>
      </c>
      <c r="T317" s="47"/>
    </row>
    <row r="318" ht="22.5" customHeight="1">
      <c r="A318" s="40">
        <v>46196.88263982639</v>
      </c>
      <c r="B318" s="41">
        <v>46196.0</v>
      </c>
      <c r="C318" s="42" t="s">
        <v>19</v>
      </c>
      <c r="D318" s="42" t="s">
        <v>18</v>
      </c>
      <c r="E318" s="42" t="s">
        <v>1511</v>
      </c>
      <c r="F318" s="42" t="s">
        <v>1512</v>
      </c>
      <c r="G318" s="43" t="s">
        <v>1513</v>
      </c>
      <c r="H318" s="42">
        <v>1.0</v>
      </c>
      <c r="J318" s="42">
        <v>0.0</v>
      </c>
      <c r="K318" s="42">
        <v>0.0</v>
      </c>
      <c r="M318" s="48">
        <v>0.0</v>
      </c>
      <c r="N318" s="48">
        <v>0.0</v>
      </c>
      <c r="O318" s="43" t="s">
        <v>1514</v>
      </c>
      <c r="P318" s="42">
        <v>0.0</v>
      </c>
      <c r="Q318" s="45"/>
      <c r="R318" s="45"/>
      <c r="S318" s="46"/>
      <c r="T318" s="46"/>
    </row>
    <row r="319" ht="22.5" customHeight="1">
      <c r="A319" s="40">
        <v>46197.92047326389</v>
      </c>
      <c r="B319" s="41">
        <v>46197.0</v>
      </c>
      <c r="C319" s="42" t="s">
        <v>19</v>
      </c>
      <c r="D319" s="42" t="s">
        <v>18</v>
      </c>
      <c r="E319" s="42" t="s">
        <v>1511</v>
      </c>
      <c r="F319" s="42" t="s">
        <v>1512</v>
      </c>
      <c r="G319" s="43" t="s">
        <v>1515</v>
      </c>
      <c r="H319" s="42">
        <v>12.0</v>
      </c>
      <c r="J319" s="42">
        <v>5.0</v>
      </c>
      <c r="K319" s="42">
        <v>3.0</v>
      </c>
      <c r="L319" s="43" t="s">
        <v>1516</v>
      </c>
      <c r="M319" s="51">
        <v>8.58124274290896E58</v>
      </c>
      <c r="N319" s="51">
        <v>8.56554390290814E34</v>
      </c>
      <c r="O319" s="43" t="s">
        <v>1517</v>
      </c>
      <c r="P319" s="45"/>
      <c r="Q319" s="45"/>
      <c r="R319" s="45"/>
      <c r="S319" s="46"/>
      <c r="T319" s="46"/>
    </row>
    <row r="320" ht="22.5" customHeight="1">
      <c r="A320" s="40">
        <v>46198.88458402778</v>
      </c>
      <c r="B320" s="41">
        <v>46198.0</v>
      </c>
      <c r="C320" s="42" t="s">
        <v>19</v>
      </c>
      <c r="D320" s="42" t="s">
        <v>18</v>
      </c>
      <c r="E320" s="42" t="s">
        <v>1511</v>
      </c>
      <c r="F320" s="42" t="s">
        <v>1512</v>
      </c>
      <c r="G320" s="43" t="s">
        <v>1518</v>
      </c>
      <c r="H320" s="42">
        <v>20.0</v>
      </c>
      <c r="J320" s="42">
        <v>0.0</v>
      </c>
      <c r="K320" s="42">
        <v>0.0</v>
      </c>
      <c r="M320" s="48">
        <v>0.0</v>
      </c>
      <c r="N320" s="48">
        <v>0.0</v>
      </c>
      <c r="O320" s="43" t="s">
        <v>1519</v>
      </c>
      <c r="P320" s="45"/>
      <c r="Q320" s="45"/>
      <c r="R320" s="45"/>
      <c r="S320" s="46"/>
      <c r="T320" s="46"/>
    </row>
    <row r="321" ht="22.5" customHeight="1">
      <c r="A321" s="40">
        <v>46199.79902796296</v>
      </c>
      <c r="B321" s="41">
        <v>46199.0</v>
      </c>
      <c r="C321" s="42" t="s">
        <v>19</v>
      </c>
      <c r="D321" s="42" t="s">
        <v>18</v>
      </c>
      <c r="E321" s="42" t="s">
        <v>1511</v>
      </c>
      <c r="F321" s="42" t="s">
        <v>1520</v>
      </c>
      <c r="G321" s="43" t="s">
        <v>1521</v>
      </c>
      <c r="H321" s="42">
        <v>55.0</v>
      </c>
      <c r="J321" s="42">
        <v>9.0</v>
      </c>
      <c r="K321" s="42">
        <v>0.0</v>
      </c>
      <c r="L321" s="43" t="s">
        <v>1522</v>
      </c>
      <c r="M321" s="48" t="s">
        <v>1523</v>
      </c>
      <c r="N321" s="48">
        <v>0.0</v>
      </c>
      <c r="O321" s="43" t="s">
        <v>1524</v>
      </c>
      <c r="P321" s="42">
        <v>9.0</v>
      </c>
      <c r="Q321" s="45"/>
      <c r="R321" s="45"/>
      <c r="S321" s="46"/>
      <c r="T321" s="46"/>
    </row>
    <row r="322" ht="22.5" customHeight="1">
      <c r="A322" s="40">
        <v>46200.89582318287</v>
      </c>
      <c r="B322" s="41">
        <v>46200.0</v>
      </c>
      <c r="C322" s="42" t="s">
        <v>19</v>
      </c>
      <c r="D322" s="42" t="s">
        <v>18</v>
      </c>
      <c r="E322" s="42" t="s">
        <v>1511</v>
      </c>
      <c r="F322" s="42" t="s">
        <v>1512</v>
      </c>
      <c r="G322" s="43" t="s">
        <v>1525</v>
      </c>
      <c r="H322" s="42">
        <v>18.0</v>
      </c>
      <c r="J322" s="42">
        <v>2.0</v>
      </c>
      <c r="K322" s="42">
        <v>2.0</v>
      </c>
      <c r="L322" s="43" t="s">
        <v>1526</v>
      </c>
      <c r="M322" s="48" t="s">
        <v>1527</v>
      </c>
      <c r="N322" s="51">
        <v>8.58660000720858E23</v>
      </c>
      <c r="O322" s="43" t="s">
        <v>1528</v>
      </c>
      <c r="P322" s="42">
        <v>10.0</v>
      </c>
      <c r="Q322" s="45"/>
      <c r="R322" s="45"/>
      <c r="S322" s="46"/>
      <c r="T322" s="46"/>
    </row>
    <row r="323" ht="22.5" customHeight="1">
      <c r="A323" s="40">
        <v>46202.90022805556</v>
      </c>
      <c r="B323" s="41">
        <v>46202.0</v>
      </c>
      <c r="C323" s="42" t="s">
        <v>19</v>
      </c>
      <c r="D323" s="42" t="s">
        <v>18</v>
      </c>
      <c r="E323" s="42" t="s">
        <v>1511</v>
      </c>
      <c r="F323" s="42" t="s">
        <v>1512</v>
      </c>
      <c r="G323" s="43" t="s">
        <v>1529</v>
      </c>
      <c r="H323" s="42">
        <v>20.0</v>
      </c>
      <c r="J323" s="42">
        <v>5.0</v>
      </c>
      <c r="K323" s="42">
        <v>1.0</v>
      </c>
      <c r="L323" s="43" t="s">
        <v>1530</v>
      </c>
      <c r="M323" s="51">
        <v>8.58124227757085E59</v>
      </c>
      <c r="N323" s="49" t="s">
        <v>1531</v>
      </c>
      <c r="O323" s="43" t="s">
        <v>1532</v>
      </c>
      <c r="P323" s="42">
        <v>1.0</v>
      </c>
      <c r="Q323" s="45"/>
      <c r="R323" s="45"/>
      <c r="S323" s="46"/>
      <c r="T323" s="46"/>
    </row>
    <row r="324" ht="22.5" customHeight="1">
      <c r="A324" s="40">
        <v>46203.75702966435</v>
      </c>
      <c r="B324" s="41">
        <v>46203.0</v>
      </c>
      <c r="C324" s="42" t="s">
        <v>19</v>
      </c>
      <c r="D324" s="42" t="s">
        <v>18</v>
      </c>
      <c r="E324" s="42" t="s">
        <v>1533</v>
      </c>
      <c r="F324" s="42" t="s">
        <v>1512</v>
      </c>
      <c r="G324" s="43" t="s">
        <v>1534</v>
      </c>
      <c r="H324" s="42">
        <v>28.0</v>
      </c>
      <c r="J324" s="42">
        <v>4.0</v>
      </c>
      <c r="K324" s="42">
        <v>2.0</v>
      </c>
      <c r="L324" s="43" t="s">
        <v>1535</v>
      </c>
      <c r="M324" s="51">
        <v>8.58124277840858E46</v>
      </c>
      <c r="N324" s="49" t="s">
        <v>1536</v>
      </c>
      <c r="O324" s="43" t="s">
        <v>1537</v>
      </c>
      <c r="P324" s="42"/>
      <c r="Q324" s="45"/>
      <c r="R324" s="45"/>
      <c r="S324" s="46"/>
      <c r="T324" s="46"/>
    </row>
    <row r="325" ht="22.5" customHeight="1">
      <c r="A325" s="40">
        <v>46204.87357211806</v>
      </c>
      <c r="B325" s="41">
        <v>46204.0</v>
      </c>
      <c r="C325" s="42" t="s">
        <v>19</v>
      </c>
      <c r="D325" s="42" t="s">
        <v>18</v>
      </c>
      <c r="E325" s="42" t="s">
        <v>1511</v>
      </c>
      <c r="F325" s="42" t="s">
        <v>1538</v>
      </c>
      <c r="G325" s="43" t="s">
        <v>1539</v>
      </c>
      <c r="H325" s="42">
        <v>30.0</v>
      </c>
      <c r="J325" s="42">
        <v>3.0</v>
      </c>
      <c r="K325" s="42">
        <v>2.0</v>
      </c>
      <c r="L325" s="43" t="s">
        <v>1540</v>
      </c>
      <c r="M325" s="50">
        <v>8.58124277860858E34</v>
      </c>
      <c r="N325" s="50">
        <v>8.15750279190896E22</v>
      </c>
      <c r="O325" s="43" t="s">
        <v>1541</v>
      </c>
      <c r="P325" s="42">
        <v>17.0</v>
      </c>
      <c r="Q325" s="45"/>
      <c r="R325" s="45"/>
      <c r="S325" s="46"/>
      <c r="T325" s="46"/>
    </row>
    <row r="326" ht="22.5" customHeight="1">
      <c r="A326" s="40">
        <v>46205.76654106482</v>
      </c>
      <c r="B326" s="41">
        <v>46205.0</v>
      </c>
      <c r="C326" s="42" t="s">
        <v>19</v>
      </c>
      <c r="D326" s="42" t="s">
        <v>18</v>
      </c>
      <c r="E326" s="42" t="s">
        <v>1533</v>
      </c>
      <c r="F326" s="42" t="s">
        <v>1538</v>
      </c>
      <c r="G326" s="43" t="s">
        <v>1542</v>
      </c>
      <c r="H326" s="42">
        <v>35.0</v>
      </c>
      <c r="J326" s="42">
        <v>2.0</v>
      </c>
      <c r="K326" s="42">
        <v>0.0</v>
      </c>
      <c r="L326" s="43" t="s">
        <v>1543</v>
      </c>
      <c r="M326" s="42" t="s">
        <v>1544</v>
      </c>
      <c r="N326" s="42">
        <v>0.0</v>
      </c>
      <c r="O326" s="43" t="s">
        <v>1545</v>
      </c>
      <c r="P326" s="42">
        <v>15.0</v>
      </c>
      <c r="Q326" s="45"/>
      <c r="R326" s="45"/>
      <c r="S326" s="46"/>
      <c r="T326" s="46"/>
    </row>
    <row r="327" ht="22.5" customHeight="1">
      <c r="A327" s="40">
        <v>46206.80346681713</v>
      </c>
      <c r="B327" s="41">
        <v>46206.0</v>
      </c>
      <c r="C327" s="42" t="s">
        <v>19</v>
      </c>
      <c r="D327" s="42" t="s">
        <v>18</v>
      </c>
      <c r="E327" s="42" t="s">
        <v>1533</v>
      </c>
      <c r="F327" s="42" t="s">
        <v>1538</v>
      </c>
      <c r="G327" s="43" t="s">
        <v>1546</v>
      </c>
      <c r="H327" s="42">
        <v>50.0</v>
      </c>
      <c r="J327" s="42">
        <v>16.0</v>
      </c>
      <c r="K327" s="42">
        <v>0.0</v>
      </c>
      <c r="L327" s="43" t="s">
        <v>1547</v>
      </c>
      <c r="M327" s="42" t="s">
        <v>1548</v>
      </c>
      <c r="N327" s="42">
        <v>0.0</v>
      </c>
      <c r="O327" s="43" t="s">
        <v>1549</v>
      </c>
      <c r="P327" s="42">
        <v>30.0</v>
      </c>
      <c r="Q327" s="45"/>
      <c r="R327" s="45"/>
      <c r="S327" s="46"/>
      <c r="T327" s="46"/>
    </row>
    <row r="328" ht="22.5" customHeight="1">
      <c r="A328" s="40">
        <v>46209.420727453704</v>
      </c>
      <c r="B328" s="41">
        <v>46207.0</v>
      </c>
      <c r="C328" s="42" t="s">
        <v>19</v>
      </c>
      <c r="D328" s="42" t="s">
        <v>18</v>
      </c>
      <c r="E328" s="42" t="s">
        <v>1511</v>
      </c>
      <c r="F328" s="42" t="s">
        <v>1550</v>
      </c>
      <c r="G328" s="43" t="s">
        <v>1551</v>
      </c>
      <c r="H328" s="42">
        <v>30.0</v>
      </c>
      <c r="J328" s="42">
        <v>4.0</v>
      </c>
      <c r="K328" s="42">
        <v>3.0</v>
      </c>
      <c r="L328" s="43" t="s">
        <v>1552</v>
      </c>
      <c r="M328" s="50">
        <v>8.15294023280858E35</v>
      </c>
      <c r="N328" s="50">
        <v>8.96768062540896E34</v>
      </c>
      <c r="O328" s="43" t="s">
        <v>1553</v>
      </c>
      <c r="P328" s="42">
        <v>17.0</v>
      </c>
      <c r="Q328" s="45"/>
      <c r="R328" s="45"/>
      <c r="S328" s="46"/>
      <c r="T328" s="46"/>
    </row>
    <row r="329" ht="22.5" customHeight="1">
      <c r="A329" s="40">
        <v>46209.86485868055</v>
      </c>
      <c r="B329" s="41">
        <v>46209.0</v>
      </c>
      <c r="C329" s="42" t="s">
        <v>19</v>
      </c>
      <c r="D329" s="42" t="s">
        <v>18</v>
      </c>
      <c r="E329" s="42" t="s">
        <v>1511</v>
      </c>
      <c r="F329" s="42" t="s">
        <v>1550</v>
      </c>
      <c r="G329" s="43" t="s">
        <v>1554</v>
      </c>
      <c r="H329" s="42">
        <v>27.0</v>
      </c>
      <c r="J329" s="42">
        <v>1.0</v>
      </c>
      <c r="K329" s="42">
        <v>3.0</v>
      </c>
      <c r="L329" s="43" t="s">
        <v>1555</v>
      </c>
      <c r="M329" s="44" t="s">
        <v>1556</v>
      </c>
      <c r="N329" s="50">
        <v>8.95406561686089E36</v>
      </c>
      <c r="O329" s="43" t="s">
        <v>1557</v>
      </c>
      <c r="P329" s="42">
        <v>14.0</v>
      </c>
      <c r="Q329" s="45"/>
      <c r="R329" s="45"/>
      <c r="T329" s="47"/>
    </row>
    <row r="330" ht="22.5" customHeight="1">
      <c r="A330" s="40">
        <v>46210.749079733796</v>
      </c>
      <c r="B330" s="41">
        <v>46210.0</v>
      </c>
      <c r="C330" s="42" t="s">
        <v>19</v>
      </c>
      <c r="D330" s="42" t="s">
        <v>18</v>
      </c>
      <c r="E330" s="42" t="s">
        <v>1511</v>
      </c>
      <c r="F330" s="42" t="s">
        <v>1550</v>
      </c>
      <c r="G330" s="43" t="s">
        <v>1558</v>
      </c>
      <c r="H330" s="42">
        <v>37.0</v>
      </c>
      <c r="J330" s="42">
        <v>6.0</v>
      </c>
      <c r="K330" s="42">
        <v>4.0</v>
      </c>
      <c r="L330" s="43" t="s">
        <v>1559</v>
      </c>
      <c r="M330" s="42" t="s">
        <v>1560</v>
      </c>
      <c r="N330" s="50">
        <v>8.96299712650858E46</v>
      </c>
      <c r="O330" s="43" t="s">
        <v>1561</v>
      </c>
      <c r="P330" s="42">
        <v>19.0</v>
      </c>
      <c r="T330" s="47"/>
    </row>
    <row r="331" ht="22.5" customHeight="1">
      <c r="A331" s="40">
        <v>46205.9005512963</v>
      </c>
      <c r="B331" s="41">
        <v>46205.0</v>
      </c>
      <c r="C331" s="42" t="s">
        <v>19</v>
      </c>
      <c r="D331" s="42" t="s">
        <v>18</v>
      </c>
      <c r="E331" s="42" t="s">
        <v>1562</v>
      </c>
      <c r="F331" s="42" t="s">
        <v>1563</v>
      </c>
      <c r="G331" s="43" t="s">
        <v>1564</v>
      </c>
      <c r="H331" s="42">
        <v>20.0</v>
      </c>
      <c r="J331" s="42">
        <v>0.0</v>
      </c>
      <c r="K331" s="42">
        <v>0.0</v>
      </c>
      <c r="M331" s="42">
        <v>0.0</v>
      </c>
      <c r="N331" s="42" t="s">
        <v>1565</v>
      </c>
      <c r="O331" s="43" t="s">
        <v>1566</v>
      </c>
      <c r="P331" s="42">
        <v>8.0</v>
      </c>
      <c r="Q331" s="45"/>
      <c r="R331" s="45"/>
      <c r="S331" s="46"/>
      <c r="T331" s="46"/>
    </row>
    <row r="332" ht="22.5" customHeight="1">
      <c r="A332" s="40">
        <v>46206.93247704861</v>
      </c>
      <c r="B332" s="41">
        <v>46206.0</v>
      </c>
      <c r="C332" s="42" t="s">
        <v>19</v>
      </c>
      <c r="D332" s="42" t="s">
        <v>18</v>
      </c>
      <c r="E332" s="42" t="s">
        <v>1562</v>
      </c>
      <c r="F332" s="42" t="s">
        <v>1563</v>
      </c>
      <c r="G332" s="43" t="s">
        <v>1567</v>
      </c>
      <c r="H332" s="42">
        <v>30.0</v>
      </c>
      <c r="J332" s="42">
        <v>1.0</v>
      </c>
      <c r="K332" s="42">
        <v>1.0</v>
      </c>
      <c r="M332" s="42" t="s">
        <v>1568</v>
      </c>
      <c r="N332" s="44" t="s">
        <v>1569</v>
      </c>
      <c r="O332" s="43" t="s">
        <v>1570</v>
      </c>
      <c r="P332" s="42">
        <v>7.0</v>
      </c>
      <c r="Q332" s="45"/>
      <c r="R332" s="45"/>
      <c r="S332" s="46"/>
      <c r="T332" s="46"/>
    </row>
    <row r="333" ht="22.5" customHeight="1">
      <c r="A333" s="40">
        <v>46209.98380165509</v>
      </c>
      <c r="B333" s="41">
        <v>46207.0</v>
      </c>
      <c r="C333" s="42" t="s">
        <v>19</v>
      </c>
      <c r="D333" s="42" t="s">
        <v>18</v>
      </c>
      <c r="E333" s="42" t="s">
        <v>1562</v>
      </c>
      <c r="F333" s="42" t="s">
        <v>1563</v>
      </c>
      <c r="G333" s="43" t="s">
        <v>1571</v>
      </c>
      <c r="H333" s="42">
        <v>35.0</v>
      </c>
      <c r="J333" s="42">
        <v>0.0</v>
      </c>
      <c r="K333" s="42">
        <v>1.0</v>
      </c>
      <c r="L333" s="43" t="s">
        <v>1572</v>
      </c>
      <c r="M333" s="42" t="s">
        <v>1565</v>
      </c>
      <c r="N333" s="44" t="s">
        <v>1573</v>
      </c>
      <c r="O333" s="43" t="s">
        <v>1574</v>
      </c>
      <c r="P333" s="42" t="s">
        <v>1575</v>
      </c>
      <c r="Q333" s="45"/>
      <c r="R333" s="45"/>
      <c r="T333" s="47"/>
    </row>
    <row r="334" ht="22.5" customHeight="1">
      <c r="A334" s="40">
        <v>46210.000465833335</v>
      </c>
      <c r="B334" s="41">
        <v>46209.0</v>
      </c>
      <c r="C334" s="42" t="s">
        <v>19</v>
      </c>
      <c r="D334" s="42" t="s">
        <v>18</v>
      </c>
      <c r="E334" s="42" t="s">
        <v>1562</v>
      </c>
      <c r="F334" s="42" t="s">
        <v>1563</v>
      </c>
      <c r="G334" s="43" t="s">
        <v>1576</v>
      </c>
      <c r="H334" s="42">
        <v>20.0</v>
      </c>
      <c r="J334" s="42">
        <v>2.0</v>
      </c>
      <c r="K334" s="42">
        <v>2.0</v>
      </c>
      <c r="L334" s="43" t="s">
        <v>1577</v>
      </c>
      <c r="M334" s="50">
        <v>8.57383218870857E22</v>
      </c>
      <c r="N334" s="50">
        <v>8.95309331110856E21</v>
      </c>
      <c r="O334" s="43" t="s">
        <v>1578</v>
      </c>
      <c r="P334" s="42" t="s">
        <v>1579</v>
      </c>
      <c r="Q334" s="45"/>
      <c r="R334" s="45"/>
      <c r="T334" s="47"/>
    </row>
    <row r="335" ht="22.5" customHeight="1">
      <c r="A335" s="40">
        <v>46210.98186601852</v>
      </c>
      <c r="B335" s="41">
        <v>46210.0</v>
      </c>
      <c r="C335" s="42" t="s">
        <v>19</v>
      </c>
      <c r="D335" s="42" t="s">
        <v>18</v>
      </c>
      <c r="E335" s="42" t="s">
        <v>1562</v>
      </c>
      <c r="F335" s="42" t="s">
        <v>1580</v>
      </c>
      <c r="G335" s="43" t="s">
        <v>1581</v>
      </c>
      <c r="H335" s="42">
        <v>30.0</v>
      </c>
      <c r="J335" s="42">
        <v>0.0</v>
      </c>
      <c r="K335" s="42">
        <v>4.0</v>
      </c>
      <c r="L335" s="43" t="s">
        <v>1582</v>
      </c>
      <c r="M335" s="42" t="s">
        <v>1565</v>
      </c>
      <c r="N335" s="50">
        <v>8.96746621940856E34</v>
      </c>
      <c r="O335" s="43" t="s">
        <v>1583</v>
      </c>
      <c r="P335" s="42" t="s">
        <v>1584</v>
      </c>
      <c r="T335" s="47"/>
    </row>
    <row r="336" ht="22.5" customHeight="1">
      <c r="A336" s="40">
        <v>46211.635991400464</v>
      </c>
      <c r="B336" s="41">
        <v>46211.0</v>
      </c>
      <c r="C336" s="42" t="s">
        <v>22</v>
      </c>
      <c r="D336" s="42" t="s">
        <v>29</v>
      </c>
      <c r="E336" s="42" t="s">
        <v>139</v>
      </c>
      <c r="F336" s="42" t="s">
        <v>140</v>
      </c>
      <c r="G336" s="43" t="s">
        <v>1585</v>
      </c>
      <c r="H336" s="42">
        <v>32.0</v>
      </c>
      <c r="J336" s="42">
        <v>0.0</v>
      </c>
      <c r="K336" s="42">
        <v>4.0</v>
      </c>
      <c r="L336" s="43" t="s">
        <v>1586</v>
      </c>
      <c r="M336" s="42">
        <v>0.0</v>
      </c>
      <c r="N336" s="42" t="s">
        <v>1587</v>
      </c>
      <c r="O336" s="43" t="s">
        <v>1588</v>
      </c>
      <c r="P336" s="42">
        <v>4.0</v>
      </c>
      <c r="T336" s="47"/>
    </row>
    <row r="337" ht="22.5" customHeight="1">
      <c r="A337" s="40">
        <v>46211.6427822338</v>
      </c>
      <c r="B337" s="41">
        <v>46206.0</v>
      </c>
      <c r="C337" s="42" t="s">
        <v>22</v>
      </c>
      <c r="D337" s="42" t="s">
        <v>29</v>
      </c>
      <c r="E337" s="42" t="s">
        <v>97</v>
      </c>
      <c r="F337" s="42" t="s">
        <v>98</v>
      </c>
      <c r="G337" s="43" t="s">
        <v>1589</v>
      </c>
      <c r="H337" s="42">
        <v>28.0</v>
      </c>
      <c r="J337" s="42">
        <v>0.0</v>
      </c>
      <c r="K337" s="42">
        <v>6.0</v>
      </c>
      <c r="L337" s="43" t="s">
        <v>1590</v>
      </c>
      <c r="M337" s="42">
        <v>0.0</v>
      </c>
      <c r="N337" s="42" t="s">
        <v>1591</v>
      </c>
      <c r="O337" s="43" t="s">
        <v>1592</v>
      </c>
      <c r="P337" s="42">
        <v>13.0</v>
      </c>
      <c r="T337" s="47"/>
    </row>
    <row r="338" ht="22.5" customHeight="1">
      <c r="A338" s="40">
        <v>46211.64956023148</v>
      </c>
      <c r="B338" s="41">
        <v>46207.0</v>
      </c>
      <c r="C338" s="42" t="s">
        <v>22</v>
      </c>
      <c r="D338" s="42" t="s">
        <v>29</v>
      </c>
      <c r="E338" s="42" t="s">
        <v>97</v>
      </c>
      <c r="F338" s="42" t="s">
        <v>98</v>
      </c>
      <c r="G338" s="43" t="s">
        <v>1593</v>
      </c>
      <c r="H338" s="42">
        <v>30.0</v>
      </c>
      <c r="J338" s="42">
        <v>1.0</v>
      </c>
      <c r="K338" s="42">
        <v>5.0</v>
      </c>
      <c r="L338" s="43" t="s">
        <v>1594</v>
      </c>
      <c r="M338" s="44" t="s">
        <v>1595</v>
      </c>
      <c r="N338" s="42" t="s">
        <v>1596</v>
      </c>
      <c r="O338" s="43" t="s">
        <v>1597</v>
      </c>
      <c r="P338" s="42">
        <v>17.0</v>
      </c>
      <c r="T338" s="47"/>
    </row>
    <row r="339" ht="22.5" customHeight="1">
      <c r="A339" s="40">
        <v>46211.65645222222</v>
      </c>
      <c r="B339" s="41">
        <v>46209.0</v>
      </c>
      <c r="C339" s="42" t="s">
        <v>22</v>
      </c>
      <c r="D339" s="42" t="s">
        <v>29</v>
      </c>
      <c r="E339" s="42" t="s">
        <v>97</v>
      </c>
      <c r="F339" s="42" t="s">
        <v>98</v>
      </c>
      <c r="G339" s="43" t="s">
        <v>1598</v>
      </c>
      <c r="H339" s="42">
        <v>31.0</v>
      </c>
      <c r="J339" s="42">
        <v>3.0</v>
      </c>
      <c r="K339" s="42">
        <v>6.0</v>
      </c>
      <c r="L339" s="43" t="s">
        <v>1599</v>
      </c>
      <c r="M339" s="42" t="s">
        <v>1600</v>
      </c>
      <c r="N339" s="42" t="s">
        <v>1601</v>
      </c>
      <c r="O339" s="43" t="s">
        <v>1602</v>
      </c>
      <c r="P339" s="42">
        <v>16.0</v>
      </c>
      <c r="T339" s="47"/>
    </row>
    <row r="340" ht="22.5" customHeight="1">
      <c r="A340" s="40">
        <v>46211.67326623843</v>
      </c>
      <c r="B340" s="41">
        <v>46210.0</v>
      </c>
      <c r="C340" s="42" t="s">
        <v>22</v>
      </c>
      <c r="D340" s="42" t="s">
        <v>29</v>
      </c>
      <c r="E340" s="42" t="s">
        <v>97</v>
      </c>
      <c r="F340" s="42" t="s">
        <v>98</v>
      </c>
      <c r="G340" s="43" t="s">
        <v>1603</v>
      </c>
      <c r="H340" s="42">
        <v>22.0</v>
      </c>
      <c r="J340" s="42">
        <v>2.0</v>
      </c>
      <c r="K340" s="42">
        <v>5.0</v>
      </c>
      <c r="L340" s="43" t="s">
        <v>1604</v>
      </c>
      <c r="M340" s="42" t="s">
        <v>1605</v>
      </c>
      <c r="N340" s="42" t="s">
        <v>1606</v>
      </c>
      <c r="O340" s="43" t="s">
        <v>1607</v>
      </c>
      <c r="P340" s="42">
        <v>11.0</v>
      </c>
      <c r="T340" s="47"/>
    </row>
    <row r="341" ht="22.5" customHeight="1">
      <c r="A341" s="40">
        <v>46211.71120376157</v>
      </c>
      <c r="B341" s="41">
        <v>46211.0</v>
      </c>
      <c r="C341" s="42" t="s">
        <v>22</v>
      </c>
      <c r="D341" s="42" t="s">
        <v>31</v>
      </c>
      <c r="E341" s="42" t="s">
        <v>700</v>
      </c>
      <c r="F341" s="42" t="s">
        <v>696</v>
      </c>
      <c r="G341" s="43" t="s">
        <v>1608</v>
      </c>
      <c r="H341" s="42">
        <v>26.0</v>
      </c>
      <c r="J341" s="42" t="s">
        <v>216</v>
      </c>
      <c r="K341" s="42" t="s">
        <v>216</v>
      </c>
      <c r="L341" s="43" t="s">
        <v>1609</v>
      </c>
      <c r="M341" s="42" t="s">
        <v>216</v>
      </c>
      <c r="N341" s="42" t="s">
        <v>216</v>
      </c>
      <c r="O341" s="43" t="s">
        <v>1610</v>
      </c>
      <c r="P341" s="42">
        <v>3.0</v>
      </c>
      <c r="T341" s="47"/>
    </row>
    <row r="342" ht="22.5" customHeight="1">
      <c r="A342" s="40">
        <v>46211.73299091435</v>
      </c>
      <c r="B342" s="41">
        <v>46211.0</v>
      </c>
      <c r="C342" s="42" t="s">
        <v>19</v>
      </c>
      <c r="D342" s="42" t="s">
        <v>18</v>
      </c>
      <c r="E342" s="56" t="s">
        <v>553</v>
      </c>
      <c r="F342" s="42" t="s">
        <v>558</v>
      </c>
      <c r="G342" s="43" t="s">
        <v>1611</v>
      </c>
      <c r="H342" s="42">
        <v>25.0</v>
      </c>
      <c r="J342" s="42">
        <v>1.0</v>
      </c>
      <c r="K342" s="42">
        <v>20.0</v>
      </c>
      <c r="L342" s="43" t="s">
        <v>1612</v>
      </c>
      <c r="M342" s="44" t="s">
        <v>1613</v>
      </c>
      <c r="N342" s="42" t="s">
        <v>1614</v>
      </c>
      <c r="O342" s="43" t="s">
        <v>1615</v>
      </c>
      <c r="P342" s="42">
        <v>12.0</v>
      </c>
      <c r="T342" s="47"/>
    </row>
    <row r="343" ht="22.5" customHeight="1">
      <c r="A343" s="40">
        <v>46211.7646025</v>
      </c>
      <c r="B343" s="41">
        <v>46211.0</v>
      </c>
      <c r="C343" s="42" t="s">
        <v>22</v>
      </c>
      <c r="D343" s="42" t="s">
        <v>29</v>
      </c>
      <c r="E343" s="42" t="s">
        <v>963</v>
      </c>
      <c r="F343" s="42" t="s">
        <v>964</v>
      </c>
      <c r="G343" s="43" t="s">
        <v>1616</v>
      </c>
      <c r="H343" s="42">
        <v>21.0</v>
      </c>
      <c r="J343" s="42">
        <v>1.0</v>
      </c>
      <c r="K343" s="42">
        <v>0.0</v>
      </c>
      <c r="L343" s="43" t="s">
        <v>1617</v>
      </c>
      <c r="M343" s="44" t="s">
        <v>1618</v>
      </c>
      <c r="N343" s="42">
        <v>0.0</v>
      </c>
      <c r="O343" s="43" t="s">
        <v>1619</v>
      </c>
      <c r="P343" s="42">
        <v>5.0</v>
      </c>
      <c r="T343" s="47"/>
    </row>
    <row r="344" ht="22.5" customHeight="1">
      <c r="A344" s="40">
        <v>46211.77832434028</v>
      </c>
      <c r="B344" s="41">
        <v>46211.0</v>
      </c>
      <c r="C344" s="42" t="s">
        <v>22</v>
      </c>
      <c r="D344" s="42" t="s">
        <v>31</v>
      </c>
      <c r="E344" s="42" t="s">
        <v>1044</v>
      </c>
      <c r="F344" s="42" t="s">
        <v>1045</v>
      </c>
      <c r="G344" s="43" t="s">
        <v>1620</v>
      </c>
      <c r="H344" s="42">
        <v>20.0</v>
      </c>
      <c r="J344" s="42">
        <v>0.0</v>
      </c>
      <c r="K344" s="42">
        <v>3.0</v>
      </c>
      <c r="L344" s="43" t="s">
        <v>1621</v>
      </c>
      <c r="M344" s="42">
        <v>0.0</v>
      </c>
      <c r="N344" s="42">
        <v>0.0</v>
      </c>
      <c r="O344" s="43" t="s">
        <v>1622</v>
      </c>
      <c r="P344" s="42">
        <v>4.0</v>
      </c>
      <c r="T344" s="47"/>
    </row>
    <row r="345" ht="22.5" customHeight="1">
      <c r="A345" s="40">
        <v>46211.781150995375</v>
      </c>
      <c r="B345" s="41">
        <v>46211.0</v>
      </c>
      <c r="C345" s="42" t="s">
        <v>19</v>
      </c>
      <c r="D345" s="42" t="s">
        <v>10</v>
      </c>
      <c r="E345" s="42" t="s">
        <v>1293</v>
      </c>
      <c r="F345" s="42" t="s">
        <v>1294</v>
      </c>
      <c r="G345" s="43" t="s">
        <v>1623</v>
      </c>
      <c r="H345" s="42">
        <v>5.0</v>
      </c>
      <c r="J345" s="42" t="s">
        <v>216</v>
      </c>
      <c r="K345" s="42">
        <v>1.0</v>
      </c>
      <c r="L345" s="43" t="s">
        <v>1624</v>
      </c>
      <c r="M345" s="42" t="s">
        <v>216</v>
      </c>
      <c r="N345" s="42" t="s">
        <v>216</v>
      </c>
      <c r="O345" s="43" t="s">
        <v>1625</v>
      </c>
      <c r="P345" s="42">
        <v>2.0</v>
      </c>
      <c r="T345" s="47"/>
    </row>
    <row r="346" ht="22.5" customHeight="1">
      <c r="A346" s="40">
        <v>46211.78615064815</v>
      </c>
      <c r="B346" s="41">
        <v>46211.0</v>
      </c>
      <c r="C346" s="42" t="s">
        <v>22</v>
      </c>
      <c r="D346" s="42" t="s">
        <v>31</v>
      </c>
      <c r="E346" s="42" t="s">
        <v>279</v>
      </c>
      <c r="F346" s="42" t="s">
        <v>292</v>
      </c>
      <c r="G346" s="43" t="s">
        <v>1626</v>
      </c>
      <c r="H346" s="42">
        <v>20.0</v>
      </c>
      <c r="J346" s="42" t="s">
        <v>216</v>
      </c>
      <c r="K346" s="42" t="s">
        <v>216</v>
      </c>
      <c r="L346" s="43" t="s">
        <v>1627</v>
      </c>
      <c r="M346" s="42" t="s">
        <v>216</v>
      </c>
      <c r="N346" s="42" t="s">
        <v>216</v>
      </c>
      <c r="O346" s="43" t="s">
        <v>1628</v>
      </c>
      <c r="P346" s="42">
        <v>5.0</v>
      </c>
      <c r="T346" s="47"/>
    </row>
    <row r="347" ht="22.5" customHeight="1">
      <c r="A347" s="40">
        <v>46211.78834866898</v>
      </c>
      <c r="B347" s="41">
        <v>46211.0</v>
      </c>
      <c r="C347" s="42" t="s">
        <v>19</v>
      </c>
      <c r="D347" s="42" t="s">
        <v>18</v>
      </c>
      <c r="E347" s="42" t="s">
        <v>1511</v>
      </c>
      <c r="F347" s="42" t="s">
        <v>928</v>
      </c>
      <c r="G347" s="43" t="s">
        <v>1629</v>
      </c>
      <c r="H347" s="42">
        <v>25.0</v>
      </c>
      <c r="J347" s="42">
        <v>3.0</v>
      </c>
      <c r="K347" s="42">
        <v>3.0</v>
      </c>
      <c r="L347" s="43" t="s">
        <v>1630</v>
      </c>
      <c r="M347" s="42" t="s">
        <v>1631</v>
      </c>
      <c r="N347" s="42" t="s">
        <v>1632</v>
      </c>
      <c r="O347" s="43" t="s">
        <v>1633</v>
      </c>
      <c r="P347" s="42">
        <v>13.0</v>
      </c>
      <c r="T347" s="47"/>
    </row>
    <row r="348" ht="22.5" customHeight="1">
      <c r="A348" s="40">
        <v>46211.79264655092</v>
      </c>
      <c r="B348" s="41">
        <v>46211.0</v>
      </c>
      <c r="C348" s="42" t="s">
        <v>19</v>
      </c>
      <c r="D348" s="42" t="s">
        <v>18</v>
      </c>
      <c r="E348" s="42" t="s">
        <v>113</v>
      </c>
      <c r="F348" s="42" t="s">
        <v>114</v>
      </c>
      <c r="G348" s="43" t="s">
        <v>1634</v>
      </c>
      <c r="H348" s="42">
        <v>8.0</v>
      </c>
      <c r="J348" s="42">
        <v>3.0</v>
      </c>
      <c r="K348" s="42">
        <v>4.0</v>
      </c>
      <c r="L348" s="43" t="s">
        <v>1635</v>
      </c>
      <c r="M348" s="42" t="s">
        <v>1636</v>
      </c>
      <c r="N348" s="42" t="s">
        <v>1637</v>
      </c>
      <c r="O348" s="43" t="s">
        <v>1638</v>
      </c>
      <c r="P348" s="42">
        <v>5.0</v>
      </c>
      <c r="T348" s="47"/>
    </row>
    <row r="349" ht="22.5" customHeight="1">
      <c r="A349" s="40">
        <v>46211.79311986111</v>
      </c>
      <c r="B349" s="41">
        <v>46211.0</v>
      </c>
      <c r="C349" s="42" t="s">
        <v>19</v>
      </c>
      <c r="D349" s="42" t="s">
        <v>21</v>
      </c>
      <c r="E349" s="42" t="s">
        <v>1639</v>
      </c>
      <c r="F349" s="42" t="s">
        <v>538</v>
      </c>
      <c r="G349" s="43" t="s">
        <v>1640</v>
      </c>
      <c r="H349" s="42">
        <v>20.0</v>
      </c>
      <c r="J349" s="42">
        <v>0.0</v>
      </c>
      <c r="K349" s="42">
        <v>1.0</v>
      </c>
      <c r="L349" s="43" t="s">
        <v>1641</v>
      </c>
      <c r="M349" s="42">
        <v>0.0</v>
      </c>
      <c r="N349" s="44" t="s">
        <v>1642</v>
      </c>
      <c r="O349" s="43" t="s">
        <v>1643</v>
      </c>
      <c r="P349" s="42">
        <v>0.0</v>
      </c>
      <c r="T349" s="47"/>
    </row>
    <row r="350" ht="22.5" customHeight="1">
      <c r="A350" s="40">
        <v>46211.79764574074</v>
      </c>
      <c r="B350" s="41">
        <v>46211.0</v>
      </c>
      <c r="C350" s="42" t="s">
        <v>19</v>
      </c>
      <c r="D350" s="42" t="s">
        <v>18</v>
      </c>
      <c r="E350" s="42" t="s">
        <v>641</v>
      </c>
      <c r="F350" s="42" t="s">
        <v>691</v>
      </c>
      <c r="G350" s="43" t="s">
        <v>1644</v>
      </c>
      <c r="H350" s="42">
        <v>23.0</v>
      </c>
      <c r="J350" s="42">
        <v>0.0</v>
      </c>
      <c r="K350" s="42">
        <v>6.0</v>
      </c>
      <c r="L350" s="43" t="s">
        <v>1645</v>
      </c>
      <c r="M350" s="42" t="s">
        <v>216</v>
      </c>
      <c r="N350" s="50">
        <v>8.56404562210858E68</v>
      </c>
      <c r="O350" s="43" t="s">
        <v>1646</v>
      </c>
      <c r="P350" s="42">
        <v>16.0</v>
      </c>
      <c r="T350" s="47"/>
    </row>
    <row r="351" ht="22.5" customHeight="1">
      <c r="A351" s="40">
        <v>46211.80452356482</v>
      </c>
      <c r="B351" s="41">
        <v>46211.0</v>
      </c>
      <c r="C351" s="42" t="s">
        <v>22</v>
      </c>
      <c r="D351" s="42" t="s">
        <v>26</v>
      </c>
      <c r="E351" s="42" t="s">
        <v>1647</v>
      </c>
      <c r="F351" s="42" t="s">
        <v>1648</v>
      </c>
      <c r="G351" s="43" t="s">
        <v>1649</v>
      </c>
      <c r="H351" s="42">
        <v>23.0</v>
      </c>
      <c r="J351" s="42">
        <v>0.0</v>
      </c>
      <c r="K351" s="42">
        <v>2.0</v>
      </c>
      <c r="L351" s="43" t="s">
        <v>1650</v>
      </c>
      <c r="M351" s="42">
        <v>0.0</v>
      </c>
      <c r="N351" s="44" t="s">
        <v>1651</v>
      </c>
      <c r="O351" s="43" t="s">
        <v>1652</v>
      </c>
      <c r="P351" s="42">
        <v>0.0</v>
      </c>
      <c r="T351" s="47"/>
    </row>
    <row r="352" ht="22.5" customHeight="1">
      <c r="A352" s="40">
        <v>46211.80462873843</v>
      </c>
      <c r="B352" s="41">
        <v>46211.0</v>
      </c>
      <c r="C352" s="42" t="s">
        <v>19</v>
      </c>
      <c r="D352" s="42" t="s">
        <v>15</v>
      </c>
      <c r="E352" s="42" t="s">
        <v>585</v>
      </c>
      <c r="F352" s="42" t="s">
        <v>589</v>
      </c>
      <c r="G352" s="43" t="s">
        <v>1653</v>
      </c>
      <c r="H352" s="42">
        <v>23.0</v>
      </c>
      <c r="J352" s="42">
        <v>2.0</v>
      </c>
      <c r="K352" s="42">
        <v>3.0</v>
      </c>
      <c r="L352" s="43" t="s">
        <v>1654</v>
      </c>
      <c r="M352" s="42" t="s">
        <v>1655</v>
      </c>
      <c r="N352" s="42" t="s">
        <v>1656</v>
      </c>
      <c r="O352" s="43" t="s">
        <v>1657</v>
      </c>
      <c r="P352" s="42">
        <v>19.0</v>
      </c>
      <c r="T352" s="47"/>
    </row>
    <row r="353" ht="22.5" customHeight="1">
      <c r="A353" s="40">
        <v>46211.82419533565</v>
      </c>
      <c r="B353" s="41">
        <v>46211.0</v>
      </c>
      <c r="C353" s="42" t="s">
        <v>19</v>
      </c>
      <c r="D353" s="42" t="s">
        <v>21</v>
      </c>
      <c r="E353" s="42" t="s">
        <v>346</v>
      </c>
      <c r="F353" s="42" t="s">
        <v>360</v>
      </c>
      <c r="G353" s="43" t="s">
        <v>1658</v>
      </c>
      <c r="H353" s="42">
        <v>25.0</v>
      </c>
      <c r="J353" s="42" t="s">
        <v>216</v>
      </c>
      <c r="K353" s="42">
        <v>6.0</v>
      </c>
      <c r="L353" s="43" t="s">
        <v>1659</v>
      </c>
      <c r="M353" s="42" t="s">
        <v>216</v>
      </c>
      <c r="N353" s="50">
        <v>8.95379005618083E48</v>
      </c>
      <c r="O353" s="43" t="s">
        <v>1660</v>
      </c>
      <c r="P353" s="42">
        <v>5.0</v>
      </c>
      <c r="T353" s="47"/>
    </row>
    <row r="354" ht="22.5" customHeight="1">
      <c r="A354" s="40">
        <v>46211.824671145834</v>
      </c>
      <c r="B354" s="41">
        <v>46211.0</v>
      </c>
      <c r="C354" s="42" t="s">
        <v>19</v>
      </c>
      <c r="D354" s="42" t="s">
        <v>18</v>
      </c>
      <c r="E354" s="42" t="s">
        <v>193</v>
      </c>
      <c r="F354" s="42" t="s">
        <v>177</v>
      </c>
      <c r="G354" s="43" t="s">
        <v>1661</v>
      </c>
      <c r="H354" s="42">
        <v>25.0</v>
      </c>
      <c r="J354" s="42">
        <v>2.0</v>
      </c>
      <c r="K354" s="42">
        <v>10.0</v>
      </c>
      <c r="L354" s="43" t="s">
        <v>1662</v>
      </c>
      <c r="M354" s="42" t="s">
        <v>1663</v>
      </c>
      <c r="N354" s="42" t="s">
        <v>1664</v>
      </c>
      <c r="O354" s="43" t="s">
        <v>1665</v>
      </c>
      <c r="P354" s="42">
        <v>13.0</v>
      </c>
      <c r="T354" s="47"/>
    </row>
    <row r="355" ht="22.5" customHeight="1">
      <c r="A355" s="40">
        <v>46211.82876449074</v>
      </c>
      <c r="B355" s="41">
        <v>46211.0</v>
      </c>
      <c r="C355" s="42" t="s">
        <v>22</v>
      </c>
      <c r="D355" s="42" t="s">
        <v>26</v>
      </c>
      <c r="E355" s="42" t="s">
        <v>1010</v>
      </c>
      <c r="F355" s="42" t="s">
        <v>1011</v>
      </c>
      <c r="G355" s="43" t="s">
        <v>1666</v>
      </c>
      <c r="H355" s="42">
        <v>10.0</v>
      </c>
      <c r="J355" s="42">
        <v>3.0</v>
      </c>
      <c r="K355" s="42">
        <v>11.0</v>
      </c>
      <c r="L355" s="43" t="s">
        <v>1667</v>
      </c>
      <c r="M355" s="42" t="s">
        <v>1668</v>
      </c>
      <c r="N355" s="42" t="s">
        <v>1669</v>
      </c>
      <c r="O355" s="43" t="s">
        <v>1670</v>
      </c>
      <c r="P355" s="42">
        <v>1.0</v>
      </c>
      <c r="T355" s="47"/>
    </row>
    <row r="356" ht="22.5" customHeight="1">
      <c r="A356" s="40">
        <v>46211.82944421296</v>
      </c>
      <c r="B356" s="41">
        <v>46211.0</v>
      </c>
      <c r="C356" s="42" t="s">
        <v>19</v>
      </c>
      <c r="D356" s="42" t="s">
        <v>18</v>
      </c>
      <c r="E356" s="42" t="s">
        <v>1230</v>
      </c>
      <c r="F356" s="42" t="s">
        <v>1231</v>
      </c>
      <c r="G356" s="43" t="s">
        <v>1671</v>
      </c>
      <c r="H356" s="42">
        <v>18.0</v>
      </c>
      <c r="J356" s="42">
        <v>1.0</v>
      </c>
      <c r="K356" s="42">
        <v>1.0</v>
      </c>
      <c r="L356" s="43" t="s">
        <v>1672</v>
      </c>
      <c r="M356" s="44" t="s">
        <v>1673</v>
      </c>
      <c r="N356" s="44" t="s">
        <v>1674</v>
      </c>
      <c r="O356" s="43" t="s">
        <v>1675</v>
      </c>
      <c r="P356" s="42">
        <v>6.0</v>
      </c>
      <c r="T356" s="47"/>
    </row>
    <row r="357" ht="22.5" customHeight="1">
      <c r="A357" s="40">
        <v>46211.832552395834</v>
      </c>
      <c r="B357" s="41">
        <v>46211.0</v>
      </c>
      <c r="C357" s="42" t="s">
        <v>22</v>
      </c>
      <c r="D357" s="42" t="s">
        <v>31</v>
      </c>
      <c r="E357" s="42" t="s">
        <v>199</v>
      </c>
      <c r="F357" s="42" t="s">
        <v>221</v>
      </c>
      <c r="G357" s="43" t="s">
        <v>1676</v>
      </c>
      <c r="H357" s="42">
        <v>20.0</v>
      </c>
      <c r="J357" s="42" t="s">
        <v>216</v>
      </c>
      <c r="K357" s="42">
        <v>3.0</v>
      </c>
      <c r="L357" s="43" t="s">
        <v>1677</v>
      </c>
      <c r="M357" s="42" t="s">
        <v>216</v>
      </c>
      <c r="N357" s="42" t="s">
        <v>216</v>
      </c>
      <c r="O357" s="43" t="s">
        <v>1678</v>
      </c>
      <c r="P357" s="42">
        <v>6.0</v>
      </c>
      <c r="T357" s="47"/>
    </row>
    <row r="358" ht="22.5" customHeight="1">
      <c r="A358" s="40">
        <v>46211.8400740625</v>
      </c>
      <c r="B358" s="41">
        <v>46211.0</v>
      </c>
      <c r="C358" s="42" t="s">
        <v>22</v>
      </c>
      <c r="D358" s="42" t="s">
        <v>26</v>
      </c>
      <c r="E358" s="42" t="s">
        <v>1441</v>
      </c>
      <c r="F358" s="42" t="s">
        <v>1453</v>
      </c>
      <c r="G358" s="43" t="s">
        <v>1679</v>
      </c>
      <c r="H358" s="42">
        <v>20.0</v>
      </c>
      <c r="J358" s="42">
        <v>0.0</v>
      </c>
      <c r="K358" s="42">
        <v>7.0</v>
      </c>
      <c r="L358" s="43" t="s">
        <v>1680</v>
      </c>
      <c r="M358" s="42" t="s">
        <v>216</v>
      </c>
      <c r="N358" s="42" t="s">
        <v>1681</v>
      </c>
      <c r="O358" s="43" t="s">
        <v>1682</v>
      </c>
      <c r="P358" s="42">
        <v>5.0</v>
      </c>
      <c r="T358" s="47"/>
    </row>
    <row r="359" ht="22.5" customHeight="1">
      <c r="A359" s="40">
        <v>46211.86701318287</v>
      </c>
      <c r="B359" s="41">
        <v>46211.0</v>
      </c>
      <c r="C359" s="42" t="s">
        <v>22</v>
      </c>
      <c r="D359" s="42" t="s">
        <v>26</v>
      </c>
      <c r="E359" s="42" t="s">
        <v>323</v>
      </c>
      <c r="F359" s="42" t="s">
        <v>335</v>
      </c>
      <c r="G359" s="43" t="s">
        <v>1683</v>
      </c>
      <c r="H359" s="42">
        <v>14.0</v>
      </c>
      <c r="J359" s="42">
        <v>2.0</v>
      </c>
      <c r="K359" s="42">
        <v>7.0</v>
      </c>
      <c r="L359" s="43" t="s">
        <v>1684</v>
      </c>
      <c r="M359" s="42" t="s">
        <v>1685</v>
      </c>
      <c r="N359" s="42" t="s">
        <v>1686</v>
      </c>
      <c r="O359" s="43" t="s">
        <v>1687</v>
      </c>
      <c r="P359" s="42">
        <v>5.0</v>
      </c>
      <c r="T359" s="47"/>
    </row>
    <row r="360" ht="22.5" customHeight="1">
      <c r="A360" s="64" t="s">
        <v>43</v>
      </c>
      <c r="B360" s="64" t="s">
        <v>44</v>
      </c>
      <c r="C360" s="64" t="s">
        <v>1</v>
      </c>
      <c r="D360" s="64" t="s">
        <v>3</v>
      </c>
      <c r="E360" s="64" t="s">
        <v>45</v>
      </c>
      <c r="F360" s="64" t="s">
        <v>46</v>
      </c>
      <c r="G360" s="64" t="s">
        <v>1688</v>
      </c>
      <c r="H360" s="64" t="s">
        <v>48</v>
      </c>
      <c r="I360" s="64" t="s">
        <v>49</v>
      </c>
      <c r="J360" s="64" t="s">
        <v>50</v>
      </c>
      <c r="K360" s="64" t="s">
        <v>51</v>
      </c>
      <c r="L360" s="64" t="s">
        <v>52</v>
      </c>
      <c r="M360" s="65" t="s">
        <v>53</v>
      </c>
      <c r="N360" s="65" t="s">
        <v>54</v>
      </c>
      <c r="O360" s="66" t="s">
        <v>1689</v>
      </c>
      <c r="P360" s="66" t="s">
        <v>56</v>
      </c>
      <c r="T360" s="47"/>
    </row>
    <row r="361" ht="22.5" customHeight="1">
      <c r="A361" s="40">
        <v>46204.85850792824</v>
      </c>
      <c r="B361" s="41">
        <v>46204.0</v>
      </c>
      <c r="C361" s="42" t="s">
        <v>22</v>
      </c>
      <c r="D361" s="42" t="s">
        <v>26</v>
      </c>
      <c r="E361" s="42" t="s">
        <v>62</v>
      </c>
      <c r="F361" s="42" t="s">
        <v>63</v>
      </c>
      <c r="G361" s="43" t="s">
        <v>64</v>
      </c>
      <c r="H361" s="42">
        <v>18.5714285714286</v>
      </c>
      <c r="J361" s="42">
        <v>0.89090909090909</v>
      </c>
      <c r="K361" s="42">
        <v>8.21818181818182</v>
      </c>
      <c r="L361" s="43" t="s">
        <v>65</v>
      </c>
      <c r="M361" s="42" t="s">
        <v>1690</v>
      </c>
      <c r="N361" s="42" t="s">
        <v>1691</v>
      </c>
      <c r="O361" s="43" t="s">
        <v>68</v>
      </c>
      <c r="P361" s="42">
        <v>10.6727272727273</v>
      </c>
      <c r="T361" s="47"/>
    </row>
    <row r="362" ht="22.5" customHeight="1">
      <c r="A362" s="40">
        <v>46205.71671493056</v>
      </c>
      <c r="B362" s="41">
        <v>46205.0</v>
      </c>
      <c r="C362" s="42" t="s">
        <v>22</v>
      </c>
      <c r="D362" s="42" t="s">
        <v>26</v>
      </c>
      <c r="E362" s="42" t="s">
        <v>62</v>
      </c>
      <c r="F362" s="42" t="s">
        <v>69</v>
      </c>
      <c r="G362" s="43" t="s">
        <v>70</v>
      </c>
      <c r="H362" s="42">
        <v>19.0357142857143</v>
      </c>
      <c r="J362" s="42">
        <v>0.872727272727272</v>
      </c>
      <c r="K362" s="42">
        <v>8.75454545454545</v>
      </c>
      <c r="L362" s="42" t="s">
        <v>1692</v>
      </c>
      <c r="M362" s="42" t="s">
        <v>1693</v>
      </c>
      <c r="N362" s="42" t="s">
        <v>1694</v>
      </c>
      <c r="O362" s="42" t="s">
        <v>1695</v>
      </c>
      <c r="P362" s="42">
        <v>11.8</v>
      </c>
      <c r="T362" s="47"/>
    </row>
    <row r="363" ht="22.5" customHeight="1">
      <c r="A363" s="40">
        <v>46206.86983243056</v>
      </c>
      <c r="B363" s="41">
        <v>46206.0</v>
      </c>
      <c r="C363" s="42" t="s">
        <v>22</v>
      </c>
      <c r="D363" s="42" t="s">
        <v>26</v>
      </c>
      <c r="E363" s="42" t="s">
        <v>62</v>
      </c>
      <c r="F363" s="42" t="s">
        <v>69</v>
      </c>
      <c r="G363" s="43" t="s">
        <v>75</v>
      </c>
      <c r="H363" s="42">
        <v>19.5</v>
      </c>
      <c r="J363" s="42">
        <v>0.854545454545453</v>
      </c>
      <c r="K363" s="42">
        <v>9.29090909090909</v>
      </c>
      <c r="L363" s="43" t="s">
        <v>76</v>
      </c>
      <c r="M363" s="42">
        <v>0.0</v>
      </c>
      <c r="N363" s="42" t="s">
        <v>1696</v>
      </c>
      <c r="O363" s="43" t="s">
        <v>78</v>
      </c>
      <c r="P363" s="42">
        <v>12.9272727272728</v>
      </c>
      <c r="T363" s="47"/>
    </row>
    <row r="364" ht="22.5" customHeight="1">
      <c r="A364" s="40">
        <v>46209.4995871875</v>
      </c>
      <c r="B364" s="41">
        <v>46207.0</v>
      </c>
      <c r="C364" s="42" t="s">
        <v>22</v>
      </c>
      <c r="D364" s="42" t="s">
        <v>26</v>
      </c>
      <c r="E364" s="42" t="s">
        <v>62</v>
      </c>
      <c r="F364" s="42" t="s">
        <v>69</v>
      </c>
      <c r="G364" s="43" t="s">
        <v>79</v>
      </c>
      <c r="H364" s="42">
        <v>19.9642857142857</v>
      </c>
      <c r="J364" s="42">
        <v>0.836363636363635</v>
      </c>
      <c r="K364" s="42">
        <v>9.82727272727273</v>
      </c>
      <c r="L364" s="43" t="s">
        <v>80</v>
      </c>
      <c r="M364" s="42">
        <v>0.0</v>
      </c>
      <c r="N364" s="42" t="s">
        <v>1697</v>
      </c>
      <c r="O364" s="43" t="s">
        <v>82</v>
      </c>
      <c r="P364" s="42">
        <v>14.0545454545455</v>
      </c>
      <c r="T364" s="47"/>
    </row>
    <row r="365" ht="22.5" customHeight="1">
      <c r="A365" s="40">
        <v>46209.5027696412</v>
      </c>
      <c r="B365" s="41">
        <v>46208.0</v>
      </c>
      <c r="C365" s="42" t="s">
        <v>22</v>
      </c>
      <c r="D365" s="42" t="s">
        <v>26</v>
      </c>
      <c r="E365" s="42" t="s">
        <v>62</v>
      </c>
      <c r="F365" s="42" t="s">
        <v>69</v>
      </c>
      <c r="G365" s="43" t="s">
        <v>83</v>
      </c>
      <c r="H365" s="42">
        <v>20.4285714285715</v>
      </c>
      <c r="J365" s="42">
        <v>0.818181818181817</v>
      </c>
      <c r="K365" s="42">
        <v>10.3636363636364</v>
      </c>
      <c r="L365" s="42" t="s">
        <v>1698</v>
      </c>
      <c r="M365" s="44" t="s">
        <v>85</v>
      </c>
      <c r="N365" s="42" t="s">
        <v>1699</v>
      </c>
      <c r="O365" s="43" t="s">
        <v>87</v>
      </c>
      <c r="P365" s="42">
        <v>15.1818181818182</v>
      </c>
      <c r="T365" s="47"/>
    </row>
    <row r="366" ht="22.5" customHeight="1">
      <c r="A366" s="40">
        <v>46209.82753385417</v>
      </c>
      <c r="B366" s="41">
        <v>46209.0</v>
      </c>
      <c r="C366" s="42" t="s">
        <v>22</v>
      </c>
      <c r="D366" s="42" t="s">
        <v>26</v>
      </c>
      <c r="E366" s="42" t="s">
        <v>62</v>
      </c>
      <c r="F366" s="42" t="s">
        <v>69</v>
      </c>
      <c r="G366" s="43" t="s">
        <v>88</v>
      </c>
      <c r="H366" s="42">
        <v>20.8928571428572</v>
      </c>
      <c r="J366" s="42">
        <v>0.799999999999999</v>
      </c>
      <c r="K366" s="42">
        <v>10.9</v>
      </c>
      <c r="L366" s="43" t="s">
        <v>89</v>
      </c>
      <c r="M366" s="44" t="s">
        <v>90</v>
      </c>
      <c r="N366" s="42" t="s">
        <v>1700</v>
      </c>
      <c r="O366" s="43" t="s">
        <v>91</v>
      </c>
      <c r="P366" s="42">
        <v>16.3090909090909</v>
      </c>
      <c r="T366" s="47"/>
    </row>
    <row r="367" ht="22.5" customHeight="1">
      <c r="A367" s="40">
        <v>46210.760691828706</v>
      </c>
      <c r="B367" s="41">
        <v>46210.0</v>
      </c>
      <c r="C367" s="42" t="s">
        <v>22</v>
      </c>
      <c r="D367" s="42" t="s">
        <v>26</v>
      </c>
      <c r="E367" s="42" t="s">
        <v>62</v>
      </c>
      <c r="F367" s="42" t="s">
        <v>69</v>
      </c>
      <c r="G367" s="43" t="s">
        <v>92</v>
      </c>
      <c r="H367" s="42">
        <v>21.3571428571429</v>
      </c>
      <c r="J367" s="42">
        <v>0.781818181818181</v>
      </c>
      <c r="K367" s="42">
        <v>11.4363636363636</v>
      </c>
      <c r="L367" s="43" t="s">
        <v>93</v>
      </c>
      <c r="M367" s="44" t="s">
        <v>94</v>
      </c>
      <c r="N367" s="42" t="s">
        <v>1701</v>
      </c>
      <c r="O367" s="43" t="s">
        <v>96</v>
      </c>
      <c r="P367" s="42">
        <v>17.4363636363637</v>
      </c>
      <c r="T367" s="47"/>
    </row>
    <row r="368" ht="22.5" customHeight="1">
      <c r="A368" s="40">
        <v>46203.81542907408</v>
      </c>
      <c r="B368" s="41">
        <v>46203.0</v>
      </c>
      <c r="C368" s="42" t="s">
        <v>22</v>
      </c>
      <c r="D368" s="42" t="s">
        <v>29</v>
      </c>
      <c r="E368" s="42" t="s">
        <v>97</v>
      </c>
      <c r="F368" s="42" t="s">
        <v>98</v>
      </c>
      <c r="G368" s="43" t="s">
        <v>99</v>
      </c>
      <c r="H368" s="42" t="s">
        <v>1702</v>
      </c>
      <c r="J368" s="42">
        <v>0.763636363636362</v>
      </c>
      <c r="K368" s="42">
        <v>11.9727272727273</v>
      </c>
      <c r="L368" s="43" t="s">
        <v>101</v>
      </c>
      <c r="M368" s="48">
        <v>0.0</v>
      </c>
      <c r="N368" s="48" t="s">
        <v>1703</v>
      </c>
      <c r="O368" s="42" t="s">
        <v>1704</v>
      </c>
      <c r="P368" s="42">
        <v>18.5636363636364</v>
      </c>
      <c r="T368" s="47"/>
    </row>
    <row r="369" ht="22.5" customHeight="1">
      <c r="A369" s="40">
        <v>46205.470302534726</v>
      </c>
      <c r="B369" s="41">
        <v>46204.0</v>
      </c>
      <c r="C369" s="42" t="s">
        <v>22</v>
      </c>
      <c r="D369" s="42" t="s">
        <v>29</v>
      </c>
      <c r="E369" s="42" t="s">
        <v>97</v>
      </c>
      <c r="F369" s="42" t="s">
        <v>104</v>
      </c>
      <c r="G369" s="43" t="s">
        <v>105</v>
      </c>
      <c r="H369" s="42">
        <v>7.0</v>
      </c>
      <c r="J369" s="42">
        <v>0.745454545454544</v>
      </c>
      <c r="K369" s="42">
        <v>12.5090909090909</v>
      </c>
      <c r="L369" s="43" t="s">
        <v>106</v>
      </c>
      <c r="M369" s="42">
        <v>0.0</v>
      </c>
      <c r="N369" s="42" t="s">
        <v>1705</v>
      </c>
      <c r="O369" s="43" t="s">
        <v>108</v>
      </c>
      <c r="P369" s="42">
        <v>19.6909090909091</v>
      </c>
      <c r="T369" s="47"/>
    </row>
    <row r="370" ht="22.5" customHeight="1">
      <c r="A370" s="40">
        <v>46206.596710046295</v>
      </c>
      <c r="B370" s="41">
        <v>46205.0</v>
      </c>
      <c r="C370" s="42" t="s">
        <v>22</v>
      </c>
      <c r="D370" s="42" t="s">
        <v>29</v>
      </c>
      <c r="E370" s="42" t="s">
        <v>97</v>
      </c>
      <c r="F370" s="42" t="s">
        <v>98</v>
      </c>
      <c r="G370" s="43" t="s">
        <v>109</v>
      </c>
      <c r="H370" s="42">
        <v>0.5</v>
      </c>
      <c r="J370" s="42">
        <v>0.727272727272726</v>
      </c>
      <c r="K370" s="42">
        <v>13.0454545454545</v>
      </c>
      <c r="L370" s="43" t="s">
        <v>110</v>
      </c>
      <c r="M370" s="42">
        <v>0.0</v>
      </c>
      <c r="N370" s="42" t="s">
        <v>1706</v>
      </c>
      <c r="O370" s="43" t="s">
        <v>112</v>
      </c>
      <c r="P370" s="42">
        <v>20.8181818181819</v>
      </c>
      <c r="T370" s="47"/>
    </row>
    <row r="371" ht="22.5" customHeight="1">
      <c r="A371" s="40">
        <v>46205.75187853009</v>
      </c>
      <c r="B371" s="41">
        <v>46205.0</v>
      </c>
      <c r="C371" s="42" t="s">
        <v>19</v>
      </c>
      <c r="D371" s="42" t="s">
        <v>18</v>
      </c>
      <c r="E371" s="42" t="s">
        <v>113</v>
      </c>
      <c r="F371" s="42" t="s">
        <v>1707</v>
      </c>
      <c r="G371" s="43" t="s">
        <v>115</v>
      </c>
      <c r="H371" s="42">
        <v>-6.0</v>
      </c>
      <c r="J371" s="42">
        <v>0.709090909090908</v>
      </c>
      <c r="K371" s="42">
        <v>13.5818181818182</v>
      </c>
      <c r="L371" s="42" t="s">
        <v>1708</v>
      </c>
      <c r="M371" s="42" t="s">
        <v>1709</v>
      </c>
      <c r="N371" s="42" t="s">
        <v>1710</v>
      </c>
      <c r="O371" s="42" t="s">
        <v>1711</v>
      </c>
      <c r="P371" s="42">
        <v>21.9454545454546</v>
      </c>
      <c r="T371" s="47"/>
    </row>
    <row r="372" ht="22.5" customHeight="1">
      <c r="A372" s="40">
        <v>46206.81484452546</v>
      </c>
      <c r="B372" s="41">
        <v>46206.0</v>
      </c>
      <c r="C372" s="42" t="s">
        <v>19</v>
      </c>
      <c r="D372" s="42" t="s">
        <v>18</v>
      </c>
      <c r="E372" s="42" t="s">
        <v>113</v>
      </c>
      <c r="F372" s="42" t="s">
        <v>120</v>
      </c>
      <c r="G372" s="43" t="s">
        <v>121</v>
      </c>
      <c r="H372" s="42" t="s">
        <v>1712</v>
      </c>
      <c r="J372" s="42" t="s">
        <v>1713</v>
      </c>
      <c r="K372" s="42" t="s">
        <v>124</v>
      </c>
      <c r="L372" s="43" t="s">
        <v>125</v>
      </c>
      <c r="M372" s="42" t="s">
        <v>1714</v>
      </c>
      <c r="N372" s="42" t="s">
        <v>124</v>
      </c>
      <c r="O372" s="42" t="s">
        <v>1715</v>
      </c>
      <c r="P372" s="42" t="s">
        <v>1713</v>
      </c>
      <c r="T372" s="47"/>
    </row>
    <row r="373" ht="22.5" customHeight="1">
      <c r="A373" s="40">
        <v>46209.5007118287</v>
      </c>
      <c r="B373" s="41">
        <v>46208.0</v>
      </c>
      <c r="C373" s="42" t="s">
        <v>19</v>
      </c>
      <c r="D373" s="42" t="s">
        <v>18</v>
      </c>
      <c r="E373" s="42" t="s">
        <v>113</v>
      </c>
      <c r="F373" s="42" t="s">
        <v>114</v>
      </c>
      <c r="G373" s="43" t="s">
        <v>128</v>
      </c>
      <c r="H373" s="42" t="s">
        <v>1716</v>
      </c>
      <c r="J373" s="42" t="s">
        <v>1717</v>
      </c>
      <c r="K373" s="42" t="s">
        <v>124</v>
      </c>
      <c r="M373" s="42" t="s">
        <v>1717</v>
      </c>
      <c r="N373" s="42" t="s">
        <v>124</v>
      </c>
      <c r="O373" s="43" t="s">
        <v>130</v>
      </c>
      <c r="P373" s="42" t="s">
        <v>1717</v>
      </c>
      <c r="T373" s="47"/>
    </row>
    <row r="374">
      <c r="M374" s="67"/>
      <c r="N374" s="67"/>
    </row>
    <row r="375">
      <c r="M375" s="67"/>
      <c r="N375" s="67"/>
    </row>
    <row r="376">
      <c r="M376" s="67"/>
      <c r="N376" s="67"/>
    </row>
    <row r="377">
      <c r="M377" s="67"/>
      <c r="N377" s="67"/>
    </row>
    <row r="378">
      <c r="M378" s="67"/>
      <c r="N378" s="67"/>
    </row>
    <row r="379">
      <c r="M379" s="67"/>
      <c r="N379" s="67"/>
    </row>
    <row r="380">
      <c r="M380" s="67"/>
      <c r="N380" s="67"/>
    </row>
    <row r="381">
      <c r="M381" s="67"/>
      <c r="N381" s="67"/>
    </row>
    <row r="382">
      <c r="M382" s="67"/>
      <c r="N382" s="67"/>
    </row>
    <row r="383">
      <c r="M383" s="67"/>
      <c r="N383" s="67"/>
    </row>
    <row r="384">
      <c r="M384" s="67"/>
      <c r="N384" s="67"/>
    </row>
    <row r="385">
      <c r="M385" s="67"/>
      <c r="N385" s="67"/>
    </row>
    <row r="386">
      <c r="M386" s="67"/>
      <c r="N386" s="67"/>
    </row>
    <row r="387">
      <c r="M387" s="67"/>
      <c r="N387" s="67"/>
    </row>
    <row r="388">
      <c r="M388" s="67"/>
      <c r="N388" s="67"/>
    </row>
    <row r="389">
      <c r="M389" s="67"/>
      <c r="N389" s="67"/>
    </row>
    <row r="390">
      <c r="M390" s="67"/>
      <c r="N390" s="67"/>
    </row>
    <row r="391">
      <c r="M391" s="67"/>
      <c r="N391" s="67"/>
    </row>
    <row r="392">
      <c r="M392" s="67"/>
      <c r="N392" s="67"/>
    </row>
    <row r="393">
      <c r="M393" s="67"/>
      <c r="N393" s="67"/>
    </row>
    <row r="394">
      <c r="M394" s="67"/>
      <c r="N394" s="67"/>
    </row>
    <row r="395">
      <c r="M395" s="67"/>
      <c r="N395" s="67"/>
    </row>
    <row r="396">
      <c r="M396" s="67"/>
      <c r="N396" s="67"/>
    </row>
    <row r="397">
      <c r="M397" s="67"/>
      <c r="N397" s="67"/>
    </row>
    <row r="398">
      <c r="M398" s="67"/>
      <c r="N398" s="67"/>
    </row>
    <row r="399">
      <c r="M399" s="67"/>
      <c r="N399" s="67"/>
    </row>
    <row r="400">
      <c r="M400" s="67"/>
      <c r="N400" s="67"/>
    </row>
    <row r="401">
      <c r="M401" s="67"/>
      <c r="N401" s="67"/>
    </row>
    <row r="402">
      <c r="M402" s="67"/>
      <c r="N402" s="67"/>
    </row>
    <row r="403">
      <c r="M403" s="67"/>
      <c r="N403" s="67"/>
    </row>
    <row r="404">
      <c r="M404" s="67"/>
      <c r="N404" s="67"/>
    </row>
    <row r="405">
      <c r="M405" s="67"/>
      <c r="N405" s="67"/>
    </row>
    <row r="406">
      <c r="M406" s="67"/>
      <c r="N406" s="67"/>
    </row>
    <row r="407">
      <c r="M407" s="67"/>
      <c r="N407" s="67"/>
    </row>
    <row r="408">
      <c r="M408" s="67"/>
      <c r="N408" s="67"/>
    </row>
    <row r="409">
      <c r="M409" s="67"/>
      <c r="N409" s="67"/>
    </row>
    <row r="410">
      <c r="M410" s="67"/>
      <c r="N410" s="67"/>
    </row>
    <row r="411">
      <c r="M411" s="67"/>
      <c r="N411" s="67"/>
    </row>
    <row r="412">
      <c r="M412" s="67"/>
      <c r="N412" s="67"/>
    </row>
    <row r="413">
      <c r="M413" s="67"/>
      <c r="N413" s="67"/>
    </row>
    <row r="414">
      <c r="M414" s="67"/>
      <c r="N414" s="67"/>
    </row>
    <row r="415">
      <c r="M415" s="67"/>
      <c r="N415" s="67"/>
    </row>
    <row r="416">
      <c r="M416" s="67"/>
      <c r="N416" s="67"/>
    </row>
    <row r="417">
      <c r="M417" s="67"/>
      <c r="N417" s="67"/>
    </row>
    <row r="418">
      <c r="M418" s="67"/>
      <c r="N418" s="67"/>
    </row>
    <row r="419">
      <c r="M419" s="67"/>
      <c r="N419" s="67"/>
    </row>
    <row r="420">
      <c r="M420" s="67"/>
      <c r="N420" s="67"/>
    </row>
    <row r="421">
      <c r="M421" s="67"/>
      <c r="N421" s="67"/>
    </row>
    <row r="422">
      <c r="M422" s="67"/>
      <c r="N422" s="67"/>
    </row>
    <row r="423">
      <c r="M423" s="67"/>
      <c r="N423" s="67"/>
    </row>
    <row r="424">
      <c r="M424" s="67"/>
      <c r="N424" s="67"/>
    </row>
    <row r="425">
      <c r="M425" s="67"/>
      <c r="N425" s="67"/>
    </row>
    <row r="426">
      <c r="M426" s="67"/>
      <c r="N426" s="67"/>
    </row>
    <row r="427">
      <c r="M427" s="67"/>
      <c r="N427" s="67"/>
    </row>
    <row r="428">
      <c r="M428" s="67"/>
      <c r="N428" s="67"/>
    </row>
    <row r="429">
      <c r="M429" s="67"/>
      <c r="N429" s="67"/>
    </row>
    <row r="430">
      <c r="M430" s="67"/>
      <c r="N430" s="67"/>
    </row>
    <row r="431">
      <c r="M431" s="67"/>
      <c r="N431" s="67"/>
    </row>
    <row r="432">
      <c r="M432" s="67"/>
      <c r="N432" s="67"/>
    </row>
    <row r="433">
      <c r="M433" s="67"/>
      <c r="N433" s="67"/>
    </row>
    <row r="434">
      <c r="M434" s="67"/>
      <c r="N434" s="67"/>
    </row>
    <row r="435">
      <c r="M435" s="67"/>
      <c r="N435" s="67"/>
    </row>
    <row r="436">
      <c r="M436" s="67"/>
      <c r="N436" s="67"/>
    </row>
    <row r="437">
      <c r="M437" s="67"/>
      <c r="N437" s="67"/>
    </row>
    <row r="438">
      <c r="M438" s="67"/>
      <c r="N438" s="67"/>
    </row>
    <row r="439">
      <c r="M439" s="67"/>
      <c r="N439" s="67"/>
    </row>
    <row r="440">
      <c r="M440" s="67"/>
      <c r="N440" s="67"/>
    </row>
    <row r="441">
      <c r="M441" s="67"/>
      <c r="N441" s="67"/>
    </row>
    <row r="442">
      <c r="M442" s="67"/>
      <c r="N442" s="67"/>
    </row>
    <row r="443">
      <c r="M443" s="67"/>
      <c r="N443" s="67"/>
    </row>
    <row r="444">
      <c r="M444" s="67"/>
      <c r="N444" s="67"/>
    </row>
    <row r="445">
      <c r="M445" s="67"/>
      <c r="N445" s="67"/>
    </row>
    <row r="446">
      <c r="M446" s="67"/>
      <c r="N446" s="67"/>
    </row>
    <row r="447">
      <c r="M447" s="67"/>
      <c r="N447" s="67"/>
    </row>
    <row r="448">
      <c r="M448" s="67"/>
      <c r="N448" s="67"/>
    </row>
    <row r="449">
      <c r="M449" s="67"/>
      <c r="N449" s="67"/>
    </row>
    <row r="450">
      <c r="M450" s="67"/>
      <c r="N450" s="67"/>
    </row>
    <row r="451">
      <c r="M451" s="67"/>
      <c r="N451" s="67"/>
    </row>
    <row r="452">
      <c r="M452" s="67"/>
      <c r="N452" s="67"/>
    </row>
    <row r="453">
      <c r="M453" s="67"/>
      <c r="N453" s="67"/>
    </row>
    <row r="454">
      <c r="M454" s="67"/>
      <c r="N454" s="67"/>
    </row>
    <row r="455">
      <c r="M455" s="67"/>
      <c r="N455" s="67"/>
    </row>
    <row r="456">
      <c r="M456" s="67"/>
      <c r="N456" s="67"/>
    </row>
    <row r="457">
      <c r="M457" s="67"/>
      <c r="N457" s="67"/>
    </row>
    <row r="458">
      <c r="M458" s="67"/>
      <c r="N458" s="67"/>
    </row>
    <row r="459">
      <c r="M459" s="67"/>
      <c r="N459" s="67"/>
    </row>
    <row r="460">
      <c r="M460" s="67"/>
      <c r="N460" s="67"/>
    </row>
    <row r="461">
      <c r="M461" s="67"/>
      <c r="N461" s="67"/>
    </row>
    <row r="462">
      <c r="M462" s="67"/>
      <c r="N462" s="67"/>
    </row>
    <row r="463">
      <c r="M463" s="67"/>
      <c r="N463" s="67"/>
    </row>
    <row r="464">
      <c r="M464" s="67"/>
      <c r="N464" s="67"/>
    </row>
    <row r="465">
      <c r="M465" s="67"/>
      <c r="N465" s="67"/>
    </row>
    <row r="466">
      <c r="M466" s="67"/>
      <c r="N466" s="67"/>
    </row>
    <row r="467">
      <c r="M467" s="67"/>
      <c r="N467" s="67"/>
    </row>
    <row r="468">
      <c r="M468" s="67"/>
      <c r="N468" s="67"/>
    </row>
    <row r="469">
      <c r="M469" s="67"/>
      <c r="N469" s="67"/>
    </row>
    <row r="470">
      <c r="M470" s="67"/>
      <c r="N470" s="67"/>
    </row>
    <row r="471">
      <c r="M471" s="67"/>
      <c r="N471" s="67"/>
    </row>
    <row r="472">
      <c r="M472" s="67"/>
      <c r="N472" s="67"/>
    </row>
  </sheetData>
  <hyperlinks>
    <hyperlink r:id="rId1" ref="G2"/>
    <hyperlink r:id="rId2" ref="L2"/>
    <hyperlink r:id="rId3" ref="O2"/>
    <hyperlink r:id="rId4" ref="G3"/>
    <hyperlink r:id="rId5" ref="L3"/>
    <hyperlink r:id="rId6" ref="O3"/>
    <hyperlink r:id="rId7" ref="G4"/>
    <hyperlink r:id="rId8" ref="L4"/>
    <hyperlink r:id="rId9" ref="O4"/>
    <hyperlink r:id="rId10" ref="G5"/>
    <hyperlink r:id="rId11" ref="L5"/>
    <hyperlink r:id="rId12" ref="O5"/>
    <hyperlink r:id="rId13" ref="G6"/>
    <hyperlink r:id="rId14" ref="L6"/>
    <hyperlink r:id="rId15" ref="O6"/>
    <hyperlink r:id="rId16" ref="G7"/>
    <hyperlink r:id="rId17" ref="L7"/>
    <hyperlink r:id="rId18" ref="O7"/>
    <hyperlink r:id="rId19" ref="G8"/>
    <hyperlink r:id="rId20" ref="L8"/>
    <hyperlink r:id="rId21" ref="O8"/>
    <hyperlink r:id="rId22" ref="G9"/>
    <hyperlink r:id="rId23" ref="L9"/>
    <hyperlink r:id="rId24" ref="O9"/>
    <hyperlink r:id="rId25" ref="G10"/>
    <hyperlink r:id="rId26" ref="L10"/>
    <hyperlink r:id="rId27" ref="O10"/>
    <hyperlink r:id="rId28" ref="G11"/>
    <hyperlink r:id="rId29" ref="L11"/>
    <hyperlink r:id="rId30" ref="O11"/>
    <hyperlink r:id="rId31" ref="G12"/>
    <hyperlink r:id="rId32" ref="L12"/>
    <hyperlink r:id="rId33" ref="O12"/>
    <hyperlink r:id="rId34" ref="G13"/>
    <hyperlink r:id="rId35" ref="L13"/>
    <hyperlink r:id="rId36" ref="O13"/>
    <hyperlink r:id="rId37" ref="G14"/>
    <hyperlink r:id="rId38" ref="O14"/>
    <hyperlink r:id="rId39" ref="G15"/>
    <hyperlink r:id="rId40" ref="L15"/>
    <hyperlink r:id="rId41" ref="O15"/>
    <hyperlink r:id="rId42" ref="G16"/>
    <hyperlink r:id="rId43" ref="L16"/>
    <hyperlink r:id="rId44" ref="O16"/>
    <hyperlink r:id="rId45" ref="G17"/>
    <hyperlink r:id="rId46" ref="L17"/>
    <hyperlink r:id="rId47" ref="O17"/>
    <hyperlink r:id="rId48" ref="G18"/>
    <hyperlink r:id="rId49" ref="L18"/>
    <hyperlink r:id="rId50" ref="O18"/>
    <hyperlink r:id="rId51" ref="G19"/>
    <hyperlink r:id="rId52" ref="L19"/>
    <hyperlink r:id="rId53" ref="O19"/>
    <hyperlink r:id="rId54" ref="G20"/>
    <hyperlink r:id="rId55" ref="L20"/>
    <hyperlink r:id="rId56" ref="O20"/>
    <hyperlink r:id="rId57" ref="G21"/>
    <hyperlink r:id="rId58" ref="L21"/>
    <hyperlink r:id="rId59" ref="O21"/>
    <hyperlink r:id="rId60" ref="G22"/>
    <hyperlink r:id="rId61" ref="L22"/>
    <hyperlink r:id="rId62" ref="O22"/>
    <hyperlink r:id="rId63" ref="G23"/>
    <hyperlink r:id="rId64" ref="L23"/>
    <hyperlink r:id="rId65" ref="O23"/>
    <hyperlink r:id="rId66" ref="G24"/>
    <hyperlink r:id="rId67" ref="L24"/>
    <hyperlink r:id="rId68" ref="O24"/>
    <hyperlink r:id="rId69" ref="G25"/>
    <hyperlink r:id="rId70" ref="L25"/>
    <hyperlink r:id="rId71" ref="O25"/>
    <hyperlink r:id="rId72" ref="G26"/>
    <hyperlink r:id="rId73" ref="L26"/>
    <hyperlink r:id="rId74" ref="O26"/>
    <hyperlink r:id="rId75" ref="G27"/>
    <hyperlink r:id="rId76" ref="L27"/>
    <hyperlink r:id="rId77" ref="O27"/>
    <hyperlink r:id="rId78" ref="G28"/>
    <hyperlink r:id="rId79" ref="L28"/>
    <hyperlink r:id="rId80" ref="O28"/>
    <hyperlink r:id="rId81" ref="G29"/>
    <hyperlink r:id="rId82" ref="L29"/>
    <hyperlink r:id="rId83" ref="O29"/>
    <hyperlink r:id="rId84" ref="G30"/>
    <hyperlink r:id="rId85" ref="L30"/>
    <hyperlink r:id="rId86" ref="O30"/>
    <hyperlink r:id="rId87" ref="G31"/>
    <hyperlink r:id="rId88" ref="L31"/>
    <hyperlink r:id="rId89" ref="O31"/>
    <hyperlink r:id="rId90" ref="G32"/>
    <hyperlink r:id="rId91" ref="L32"/>
    <hyperlink r:id="rId92" ref="O32"/>
    <hyperlink r:id="rId93" ref="G33"/>
    <hyperlink r:id="rId94" ref="L33"/>
    <hyperlink r:id="rId95" ref="O33"/>
    <hyperlink r:id="rId96" ref="G34"/>
    <hyperlink r:id="rId97" ref="L34"/>
    <hyperlink r:id="rId98" ref="O34"/>
    <hyperlink r:id="rId99" ref="G35"/>
    <hyperlink r:id="rId100" ref="L35"/>
    <hyperlink r:id="rId101" ref="O35"/>
    <hyperlink r:id="rId102" ref="G36"/>
    <hyperlink r:id="rId103" ref="L36"/>
    <hyperlink r:id="rId104" ref="O36"/>
    <hyperlink r:id="rId105" ref="G37"/>
    <hyperlink r:id="rId106" ref="L37"/>
    <hyperlink r:id="rId107" ref="O37"/>
    <hyperlink r:id="rId108" ref="G38"/>
    <hyperlink r:id="rId109" ref="L38"/>
    <hyperlink r:id="rId110" ref="O38"/>
    <hyperlink r:id="rId111" ref="G39"/>
    <hyperlink r:id="rId112" ref="L39"/>
    <hyperlink r:id="rId113" ref="O39"/>
    <hyperlink r:id="rId114" ref="G40"/>
    <hyperlink r:id="rId115" ref="L40"/>
    <hyperlink r:id="rId116" ref="O40"/>
    <hyperlink r:id="rId117" ref="G41"/>
    <hyperlink r:id="rId118" ref="L41"/>
    <hyperlink r:id="rId119" ref="O41"/>
    <hyperlink r:id="rId120" ref="G42"/>
    <hyperlink r:id="rId121" ref="L42"/>
    <hyperlink r:id="rId122" ref="O42"/>
    <hyperlink r:id="rId123" ref="G43"/>
    <hyperlink r:id="rId124" ref="L43"/>
    <hyperlink r:id="rId125" ref="O43"/>
    <hyperlink r:id="rId126" ref="G44"/>
    <hyperlink r:id="rId127" ref="L44"/>
    <hyperlink r:id="rId128" ref="O44"/>
    <hyperlink r:id="rId129" ref="G45"/>
    <hyperlink r:id="rId130" ref="L45"/>
    <hyperlink r:id="rId131" ref="O45"/>
    <hyperlink r:id="rId132" ref="G46"/>
    <hyperlink r:id="rId133" ref="L46"/>
    <hyperlink r:id="rId134" ref="O46"/>
    <hyperlink r:id="rId135" ref="G47"/>
    <hyperlink r:id="rId136" ref="L47"/>
    <hyperlink r:id="rId137" ref="O47"/>
    <hyperlink r:id="rId138" ref="G48"/>
    <hyperlink r:id="rId139" ref="L48"/>
    <hyperlink r:id="rId140" ref="O48"/>
    <hyperlink r:id="rId141" ref="G49"/>
    <hyperlink r:id="rId142" ref="L49"/>
    <hyperlink r:id="rId143" ref="O49"/>
    <hyperlink r:id="rId144" ref="G50"/>
    <hyperlink r:id="rId145" ref="L50"/>
    <hyperlink r:id="rId146" ref="O50"/>
    <hyperlink r:id="rId147" ref="G51"/>
    <hyperlink r:id="rId148" ref="L51"/>
    <hyperlink r:id="rId149" ref="O51"/>
    <hyperlink r:id="rId150" ref="G52"/>
    <hyperlink r:id="rId151" ref="L52"/>
    <hyperlink r:id="rId152" ref="O52"/>
    <hyperlink r:id="rId153" ref="G53"/>
    <hyperlink r:id="rId154" ref="L53"/>
    <hyperlink r:id="rId155" ref="O53"/>
    <hyperlink r:id="rId156" ref="G54"/>
    <hyperlink r:id="rId157" ref="L54"/>
    <hyperlink r:id="rId158" ref="O54"/>
    <hyperlink r:id="rId159" ref="G55"/>
    <hyperlink r:id="rId160" ref="L55"/>
    <hyperlink r:id="rId161" ref="O55"/>
    <hyperlink r:id="rId162" ref="G56"/>
    <hyperlink r:id="rId163" ref="L56"/>
    <hyperlink r:id="rId164" ref="O56"/>
    <hyperlink r:id="rId165" ref="G57"/>
    <hyperlink r:id="rId166" ref="L57"/>
    <hyperlink r:id="rId167" ref="O57"/>
    <hyperlink r:id="rId168" ref="G58"/>
    <hyperlink r:id="rId169" ref="L58"/>
    <hyperlink r:id="rId170" ref="O58"/>
    <hyperlink r:id="rId171" ref="G59"/>
    <hyperlink r:id="rId172" ref="L59"/>
    <hyperlink r:id="rId173" ref="O59"/>
    <hyperlink r:id="rId174" ref="G60"/>
    <hyperlink r:id="rId175" ref="L60"/>
    <hyperlink r:id="rId176" ref="O60"/>
    <hyperlink r:id="rId177" ref="G61"/>
    <hyperlink r:id="rId178" ref="L61"/>
    <hyperlink r:id="rId179" ref="O61"/>
    <hyperlink r:id="rId180" ref="G62"/>
    <hyperlink r:id="rId181" ref="L62"/>
    <hyperlink r:id="rId182" ref="O62"/>
    <hyperlink r:id="rId183" ref="G63"/>
    <hyperlink r:id="rId184" ref="L63"/>
    <hyperlink r:id="rId185" ref="O63"/>
    <hyperlink r:id="rId186" ref="G64"/>
    <hyperlink r:id="rId187" ref="L64"/>
    <hyperlink r:id="rId188" ref="O64"/>
    <hyperlink r:id="rId189" ref="G65"/>
    <hyperlink r:id="rId190" ref="L65"/>
    <hyperlink r:id="rId191" ref="O65"/>
    <hyperlink r:id="rId192" ref="G66"/>
    <hyperlink r:id="rId193" ref="L66"/>
    <hyperlink r:id="rId194" ref="O66"/>
    <hyperlink r:id="rId195" ref="G67"/>
    <hyperlink r:id="rId196" ref="L67"/>
    <hyperlink r:id="rId197" ref="O67"/>
    <hyperlink r:id="rId198" ref="G68"/>
    <hyperlink r:id="rId199" ref="L68"/>
    <hyperlink r:id="rId200" ref="O68"/>
    <hyperlink r:id="rId201" ref="G69"/>
    <hyperlink r:id="rId202" ref="L69"/>
    <hyperlink r:id="rId203" ref="O69"/>
    <hyperlink r:id="rId204" ref="G70"/>
    <hyperlink r:id="rId205" ref="L70"/>
    <hyperlink r:id="rId206" ref="O70"/>
    <hyperlink r:id="rId207" ref="G71"/>
    <hyperlink r:id="rId208" ref="L71"/>
    <hyperlink r:id="rId209" ref="O71"/>
    <hyperlink r:id="rId210" ref="G72"/>
    <hyperlink r:id="rId211" ref="L72"/>
    <hyperlink r:id="rId212" ref="O72"/>
    <hyperlink r:id="rId213" ref="G73"/>
    <hyperlink r:id="rId214" ref="L73"/>
    <hyperlink r:id="rId215" ref="O73"/>
    <hyperlink r:id="rId216" ref="G74"/>
    <hyperlink r:id="rId217" ref="L74"/>
    <hyperlink r:id="rId218" ref="O74"/>
    <hyperlink r:id="rId219" ref="G75"/>
    <hyperlink r:id="rId220" ref="L75"/>
    <hyperlink r:id="rId221" ref="O75"/>
    <hyperlink r:id="rId222" ref="G76"/>
    <hyperlink r:id="rId223" ref="L76"/>
    <hyperlink r:id="rId224" ref="O76"/>
    <hyperlink r:id="rId225" ref="G77"/>
    <hyperlink r:id="rId226" ref="L77"/>
    <hyperlink r:id="rId227" ref="O77"/>
    <hyperlink r:id="rId228" ref="G78"/>
    <hyperlink r:id="rId229" ref="O78"/>
    <hyperlink r:id="rId230" ref="G79"/>
    <hyperlink r:id="rId231" ref="L79"/>
    <hyperlink r:id="rId232" ref="O79"/>
    <hyperlink r:id="rId233" ref="G80"/>
    <hyperlink r:id="rId234" ref="L80"/>
    <hyperlink r:id="rId235" ref="O80"/>
    <hyperlink r:id="rId236" ref="G81"/>
    <hyperlink r:id="rId237" ref="L81"/>
    <hyperlink r:id="rId238" ref="O81"/>
    <hyperlink r:id="rId239" ref="G82"/>
    <hyperlink r:id="rId240" ref="L82"/>
    <hyperlink r:id="rId241" ref="O82"/>
    <hyperlink r:id="rId242" ref="G83"/>
    <hyperlink r:id="rId243" ref="L83"/>
    <hyperlink r:id="rId244" ref="O83"/>
    <hyperlink r:id="rId245" ref="G84"/>
    <hyperlink r:id="rId246" ref="L84"/>
    <hyperlink r:id="rId247" ref="O84"/>
    <hyperlink r:id="rId248" ref="G85"/>
    <hyperlink r:id="rId249" ref="L85"/>
    <hyperlink r:id="rId250" ref="O85"/>
    <hyperlink r:id="rId251" ref="G86"/>
    <hyperlink r:id="rId252" ref="L86"/>
    <hyperlink r:id="rId253" ref="O86"/>
    <hyperlink r:id="rId254" ref="G87"/>
    <hyperlink r:id="rId255" ref="L87"/>
    <hyperlink r:id="rId256" ref="O87"/>
    <hyperlink r:id="rId257" ref="G88"/>
    <hyperlink r:id="rId258" ref="L88"/>
    <hyperlink r:id="rId259" ref="O88"/>
    <hyperlink r:id="rId260" ref="G89"/>
    <hyperlink r:id="rId261" ref="L89"/>
    <hyperlink r:id="rId262" ref="O89"/>
    <hyperlink r:id="rId263" ref="G90"/>
    <hyperlink r:id="rId264" ref="L90"/>
    <hyperlink r:id="rId265" ref="O90"/>
    <hyperlink r:id="rId266" ref="G91"/>
    <hyperlink r:id="rId267" ref="L91"/>
    <hyperlink r:id="rId268" ref="O91"/>
    <hyperlink r:id="rId269" ref="G92"/>
    <hyperlink r:id="rId270" ref="L92"/>
    <hyperlink r:id="rId271" ref="O92"/>
    <hyperlink r:id="rId272" ref="G93"/>
    <hyperlink r:id="rId273" ref="L93"/>
    <hyperlink r:id="rId274" ref="O93"/>
    <hyperlink r:id="rId275" ref="G94"/>
    <hyperlink r:id="rId276" ref="L94"/>
    <hyperlink r:id="rId277" ref="O94"/>
    <hyperlink r:id="rId278" ref="G95"/>
    <hyperlink r:id="rId279" ref="L95"/>
    <hyperlink r:id="rId280" ref="O95"/>
    <hyperlink r:id="rId281" ref="G96"/>
    <hyperlink r:id="rId282" ref="L96"/>
    <hyperlink r:id="rId283" ref="O96"/>
    <hyperlink r:id="rId284" ref="G97"/>
    <hyperlink r:id="rId285" ref="O97"/>
    <hyperlink r:id="rId286" ref="G98"/>
    <hyperlink r:id="rId287" ref="O98"/>
    <hyperlink r:id="rId288" ref="G99"/>
    <hyperlink r:id="rId289" ref="O99"/>
    <hyperlink r:id="rId290" ref="G100"/>
    <hyperlink r:id="rId291" ref="O100"/>
    <hyperlink r:id="rId292" ref="G101"/>
    <hyperlink r:id="rId293" ref="O101"/>
    <hyperlink r:id="rId294" ref="G102"/>
    <hyperlink r:id="rId295" ref="O102"/>
    <hyperlink r:id="rId296" ref="G103"/>
    <hyperlink r:id="rId297" ref="O103"/>
    <hyperlink r:id="rId298" ref="G104"/>
    <hyperlink r:id="rId299" ref="L104"/>
    <hyperlink r:id="rId300" ref="O104"/>
    <hyperlink r:id="rId301" ref="G105"/>
    <hyperlink r:id="rId302" ref="L105"/>
    <hyperlink r:id="rId303" ref="O105"/>
    <hyperlink r:id="rId304" ref="G106"/>
    <hyperlink r:id="rId305" ref="L106"/>
    <hyperlink r:id="rId306" ref="O106"/>
    <hyperlink r:id="rId307" ref="G107"/>
    <hyperlink r:id="rId308" ref="L107"/>
    <hyperlink r:id="rId309" ref="O107"/>
    <hyperlink r:id="rId310" ref="G108"/>
    <hyperlink r:id="rId311" ref="L108"/>
    <hyperlink r:id="rId312" ref="O108"/>
    <hyperlink r:id="rId313" ref="G109"/>
    <hyperlink r:id="rId314" ref="L109"/>
    <hyperlink r:id="rId315" ref="O109"/>
    <hyperlink r:id="rId316" ref="G110"/>
    <hyperlink r:id="rId317" ref="O110"/>
    <hyperlink r:id="rId318" ref="G111"/>
    <hyperlink r:id="rId319" ref="L111"/>
    <hyperlink r:id="rId320" ref="O111"/>
    <hyperlink r:id="rId321" ref="G112"/>
    <hyperlink r:id="rId322" ref="L112"/>
    <hyperlink r:id="rId323" ref="O112"/>
    <hyperlink r:id="rId324" ref="G113"/>
    <hyperlink r:id="rId325" ref="L113"/>
    <hyperlink r:id="rId326" ref="O113"/>
    <hyperlink r:id="rId327" ref="G114"/>
    <hyperlink r:id="rId328" ref="L114"/>
    <hyperlink r:id="rId329" ref="O114"/>
    <hyperlink r:id="rId330" ref="G115"/>
    <hyperlink r:id="rId331" ref="L115"/>
    <hyperlink r:id="rId332" ref="O115"/>
    <hyperlink r:id="rId333" ref="G116"/>
    <hyperlink r:id="rId334" ref="O116"/>
    <hyperlink r:id="rId335" ref="G117"/>
    <hyperlink r:id="rId336" ref="L117"/>
    <hyperlink r:id="rId337" ref="O117"/>
    <hyperlink r:id="rId338" ref="G118"/>
    <hyperlink r:id="rId339" ref="L118"/>
    <hyperlink r:id="rId340" ref="O118"/>
    <hyperlink r:id="rId341" ref="G119"/>
    <hyperlink r:id="rId342" ref="L119"/>
    <hyperlink r:id="rId343" ref="O119"/>
    <hyperlink r:id="rId344" ref="G120"/>
    <hyperlink r:id="rId345" ref="L120"/>
    <hyperlink r:id="rId346" ref="O120"/>
    <hyperlink r:id="rId347" ref="G121"/>
    <hyperlink r:id="rId348" ref="L121"/>
    <hyperlink r:id="rId349" ref="O121"/>
    <hyperlink r:id="rId350" ref="G122"/>
    <hyperlink r:id="rId351" ref="L122"/>
    <hyperlink r:id="rId352" ref="O122"/>
    <hyperlink r:id="rId353" ref="G123"/>
    <hyperlink r:id="rId354" ref="L123"/>
    <hyperlink r:id="rId355" ref="O123"/>
    <hyperlink r:id="rId356" ref="G124"/>
    <hyperlink r:id="rId357" ref="L124"/>
    <hyperlink r:id="rId358" ref="O124"/>
    <hyperlink r:id="rId359" ref="G125"/>
    <hyperlink r:id="rId360" ref="L125"/>
    <hyperlink r:id="rId361" ref="O125"/>
    <hyperlink r:id="rId362" ref="G126"/>
    <hyperlink r:id="rId363" ref="L126"/>
    <hyperlink r:id="rId364" ref="O126"/>
    <hyperlink r:id="rId365" ref="G127"/>
    <hyperlink r:id="rId366" ref="L127"/>
    <hyperlink r:id="rId367" ref="O127"/>
    <hyperlink r:id="rId368" ref="G128"/>
    <hyperlink r:id="rId369" ref="L128"/>
    <hyperlink r:id="rId370" ref="O128"/>
    <hyperlink r:id="rId371" ref="G129"/>
    <hyperlink r:id="rId372" ref="L129"/>
    <hyperlink r:id="rId373" ref="O129"/>
    <hyperlink r:id="rId374" ref="G130"/>
    <hyperlink r:id="rId375" ref="L130"/>
    <hyperlink r:id="rId376" ref="O130"/>
    <hyperlink r:id="rId377" ref="G131"/>
    <hyperlink r:id="rId378" ref="L131"/>
    <hyperlink r:id="rId379" ref="O131"/>
    <hyperlink r:id="rId380" ref="G132"/>
    <hyperlink r:id="rId381" ref="L132"/>
    <hyperlink r:id="rId382" ref="O132"/>
    <hyperlink r:id="rId383" ref="G133"/>
    <hyperlink r:id="rId384" ref="L133"/>
    <hyperlink r:id="rId385" ref="O133"/>
    <hyperlink r:id="rId386" ref="G134"/>
    <hyperlink r:id="rId387" ref="L134"/>
    <hyperlink r:id="rId388" ref="O134"/>
    <hyperlink r:id="rId389" ref="G135"/>
    <hyperlink r:id="rId390" ref="L135"/>
    <hyperlink r:id="rId391" ref="O135"/>
    <hyperlink r:id="rId392" ref="G136"/>
    <hyperlink r:id="rId393" ref="L136"/>
    <hyperlink r:id="rId394" ref="O136"/>
    <hyperlink r:id="rId395" ref="G137"/>
    <hyperlink r:id="rId396" ref="L137"/>
    <hyperlink r:id="rId397" ref="O137"/>
    <hyperlink r:id="rId398" ref="G138"/>
    <hyperlink r:id="rId399" ref="L138"/>
    <hyperlink r:id="rId400" ref="O138"/>
    <hyperlink r:id="rId401" ref="G139"/>
    <hyperlink r:id="rId402" ref="L139"/>
    <hyperlink r:id="rId403" ref="O139"/>
    <hyperlink r:id="rId404" ref="G140"/>
    <hyperlink r:id="rId405" ref="L140"/>
    <hyperlink r:id="rId406" ref="O140"/>
    <hyperlink r:id="rId407" ref="G141"/>
    <hyperlink r:id="rId408" ref="L141"/>
    <hyperlink r:id="rId409" ref="O141"/>
    <hyperlink r:id="rId410" ref="G142"/>
    <hyperlink r:id="rId411" ref="L142"/>
    <hyperlink r:id="rId412" ref="O142"/>
    <hyperlink r:id="rId413" ref="G143"/>
    <hyperlink r:id="rId414" ref="O143"/>
    <hyperlink r:id="rId415" ref="G144"/>
    <hyperlink r:id="rId416" ref="L144"/>
    <hyperlink r:id="rId417" ref="O144"/>
    <hyperlink r:id="rId418" ref="G145"/>
    <hyperlink r:id="rId419" ref="L145"/>
    <hyperlink r:id="rId420" ref="O145"/>
    <hyperlink r:id="rId421" ref="G146"/>
    <hyperlink r:id="rId422" ref="L146"/>
    <hyperlink r:id="rId423" ref="O146"/>
    <hyperlink r:id="rId424" ref="G147"/>
    <hyperlink r:id="rId425" ref="L147"/>
    <hyperlink r:id="rId426" ref="O147"/>
    <hyperlink r:id="rId427" ref="G148"/>
    <hyperlink r:id="rId428" ref="L148"/>
    <hyperlink r:id="rId429" ref="O148"/>
    <hyperlink r:id="rId430" ref="G149"/>
    <hyperlink r:id="rId431" ref="L149"/>
    <hyperlink r:id="rId432" ref="O149"/>
    <hyperlink r:id="rId433" ref="G150"/>
    <hyperlink r:id="rId434" ref="L150"/>
    <hyperlink r:id="rId435" ref="O150"/>
    <hyperlink r:id="rId436" ref="G151"/>
    <hyperlink r:id="rId437" ref="L151"/>
    <hyperlink r:id="rId438" ref="O151"/>
    <hyperlink r:id="rId439" ref="G152"/>
    <hyperlink r:id="rId440" ref="L152"/>
    <hyperlink r:id="rId441" ref="O152"/>
    <hyperlink r:id="rId442" ref="G153"/>
    <hyperlink r:id="rId443" ref="L153"/>
    <hyperlink r:id="rId444" ref="O153"/>
    <hyperlink r:id="rId445" ref="G154"/>
    <hyperlink r:id="rId446" ref="L154"/>
    <hyperlink r:id="rId447" ref="O154"/>
    <hyperlink r:id="rId448" ref="G155"/>
    <hyperlink r:id="rId449" ref="L155"/>
    <hyperlink r:id="rId450" ref="O155"/>
    <hyperlink r:id="rId451" ref="G156"/>
    <hyperlink r:id="rId452" ref="L156"/>
    <hyperlink r:id="rId453" ref="O156"/>
    <hyperlink r:id="rId454" ref="G157"/>
    <hyperlink r:id="rId455" ref="L157"/>
    <hyperlink r:id="rId456" ref="O157"/>
    <hyperlink r:id="rId457" ref="G158"/>
    <hyperlink r:id="rId458" ref="L158"/>
    <hyperlink r:id="rId459" ref="O158"/>
    <hyperlink r:id="rId460" ref="G159"/>
    <hyperlink r:id="rId461" ref="L159"/>
    <hyperlink r:id="rId462" ref="O159"/>
    <hyperlink r:id="rId463" ref="G160"/>
    <hyperlink r:id="rId464" ref="L160"/>
    <hyperlink r:id="rId465" ref="O160"/>
    <hyperlink r:id="rId466" ref="G161"/>
    <hyperlink r:id="rId467" ref="L161"/>
    <hyperlink r:id="rId468" ref="O161"/>
    <hyperlink r:id="rId469" ref="G162"/>
    <hyperlink r:id="rId470" ref="L162"/>
    <hyperlink r:id="rId471" ref="O162"/>
    <hyperlink r:id="rId472" ref="G163"/>
    <hyperlink r:id="rId473" ref="L163"/>
    <hyperlink r:id="rId474" ref="O163"/>
    <hyperlink r:id="rId475" ref="G164"/>
    <hyperlink r:id="rId476" ref="L164"/>
    <hyperlink r:id="rId477" ref="O164"/>
    <hyperlink r:id="rId478" ref="G165"/>
    <hyperlink r:id="rId479" ref="L165"/>
    <hyperlink r:id="rId480" ref="O165"/>
    <hyperlink r:id="rId481" ref="G166"/>
    <hyperlink r:id="rId482" ref="L166"/>
    <hyperlink r:id="rId483" ref="O166"/>
    <hyperlink r:id="rId484" ref="G167"/>
    <hyperlink r:id="rId485" ref="L167"/>
    <hyperlink r:id="rId486" ref="O167"/>
    <hyperlink r:id="rId487" ref="G168"/>
    <hyperlink r:id="rId488" ref="L168"/>
    <hyperlink r:id="rId489" ref="O168"/>
    <hyperlink r:id="rId490" ref="G169"/>
    <hyperlink r:id="rId491" ref="L169"/>
    <hyperlink r:id="rId492" ref="O169"/>
    <hyperlink r:id="rId493" ref="G170"/>
    <hyperlink r:id="rId494" ref="L170"/>
    <hyperlink r:id="rId495" ref="O170"/>
    <hyperlink r:id="rId496" ref="G171"/>
    <hyperlink r:id="rId497" ref="L171"/>
    <hyperlink r:id="rId498" ref="O171"/>
    <hyperlink r:id="rId499" ref="G172"/>
    <hyperlink r:id="rId500" ref="L172"/>
    <hyperlink r:id="rId501" ref="O172"/>
    <hyperlink r:id="rId502" ref="G173"/>
    <hyperlink r:id="rId503" ref="L173"/>
    <hyperlink r:id="rId504" ref="O173"/>
    <hyperlink r:id="rId505" ref="G174"/>
    <hyperlink r:id="rId506" ref="L174"/>
    <hyperlink r:id="rId507" ref="O174"/>
    <hyperlink r:id="rId508" ref="G175"/>
    <hyperlink r:id="rId509" ref="L175"/>
    <hyperlink r:id="rId510" ref="O175"/>
    <hyperlink r:id="rId511" ref="G176"/>
    <hyperlink r:id="rId512" ref="L176"/>
    <hyperlink r:id="rId513" ref="O176"/>
    <hyperlink r:id="rId514" ref="G177"/>
    <hyperlink r:id="rId515" ref="L177"/>
    <hyperlink r:id="rId516" ref="O177"/>
    <hyperlink r:id="rId517" ref="G178"/>
    <hyperlink r:id="rId518" ref="L178"/>
    <hyperlink r:id="rId519" ref="O178"/>
    <hyperlink r:id="rId520" ref="G179"/>
    <hyperlink r:id="rId521" ref="L179"/>
    <hyperlink r:id="rId522" ref="O179"/>
    <hyperlink r:id="rId523" ref="G180"/>
    <hyperlink r:id="rId524" ref="L180"/>
    <hyperlink r:id="rId525" ref="O180"/>
    <hyperlink r:id="rId526" ref="G181"/>
    <hyperlink r:id="rId527" ref="L181"/>
    <hyperlink r:id="rId528" ref="O181"/>
    <hyperlink r:id="rId529" ref="G182"/>
    <hyperlink r:id="rId530" ref="L182"/>
    <hyperlink r:id="rId531" ref="O182"/>
    <hyperlink r:id="rId532" ref="G183"/>
    <hyperlink r:id="rId533" ref="L183"/>
    <hyperlink r:id="rId534" ref="O183"/>
    <hyperlink r:id="rId535" ref="G184"/>
    <hyperlink r:id="rId536" ref="L184"/>
    <hyperlink r:id="rId537" ref="O184"/>
    <hyperlink r:id="rId538" ref="G185"/>
    <hyperlink r:id="rId539" ref="O185"/>
    <hyperlink r:id="rId540" ref="G186"/>
    <hyperlink r:id="rId541" ref="L186"/>
    <hyperlink r:id="rId542" ref="O186"/>
    <hyperlink r:id="rId543" ref="G187"/>
    <hyperlink r:id="rId544" ref="L187"/>
    <hyperlink r:id="rId545" ref="O187"/>
    <hyperlink r:id="rId546" ref="G188"/>
    <hyperlink r:id="rId547" ref="L188"/>
    <hyperlink r:id="rId548" ref="O188"/>
    <hyperlink r:id="rId549" ref="G189"/>
    <hyperlink r:id="rId550" ref="L189"/>
    <hyperlink r:id="rId551" ref="O189"/>
    <hyperlink r:id="rId552" ref="G190"/>
    <hyperlink r:id="rId553" ref="L190"/>
    <hyperlink r:id="rId554" ref="O190"/>
    <hyperlink r:id="rId555" ref="G191"/>
    <hyperlink r:id="rId556" ref="L191"/>
    <hyperlink r:id="rId557" ref="O191"/>
    <hyperlink r:id="rId558" ref="G192"/>
    <hyperlink r:id="rId559" ref="L192"/>
    <hyperlink r:id="rId560" ref="O192"/>
    <hyperlink r:id="rId561" ref="G193"/>
    <hyperlink r:id="rId562" ref="L193"/>
    <hyperlink r:id="rId563" ref="O193"/>
    <hyperlink r:id="rId564" ref="G194"/>
    <hyperlink r:id="rId565" ref="L194"/>
    <hyperlink r:id="rId566" ref="O194"/>
    <hyperlink r:id="rId567" ref="G195"/>
    <hyperlink r:id="rId568" ref="L195"/>
    <hyperlink r:id="rId569" ref="O195"/>
    <hyperlink r:id="rId570" ref="G196"/>
    <hyperlink r:id="rId571" ref="L196"/>
    <hyperlink r:id="rId572" ref="O196"/>
    <hyperlink r:id="rId573" ref="G197"/>
    <hyperlink r:id="rId574" ref="L197"/>
    <hyperlink r:id="rId575" ref="O197"/>
    <hyperlink r:id="rId576" ref="G198"/>
    <hyperlink r:id="rId577" ref="L198"/>
    <hyperlink r:id="rId578" ref="O198"/>
    <hyperlink r:id="rId579" ref="G199"/>
    <hyperlink r:id="rId580" ref="L199"/>
    <hyperlink r:id="rId581" ref="O199"/>
    <hyperlink r:id="rId582" ref="G200"/>
    <hyperlink r:id="rId583" ref="L200"/>
    <hyperlink r:id="rId584" ref="O200"/>
    <hyperlink r:id="rId585" ref="G201"/>
    <hyperlink r:id="rId586" ref="L201"/>
    <hyperlink r:id="rId587" ref="O201"/>
    <hyperlink r:id="rId588" ref="G202"/>
    <hyperlink r:id="rId589" ref="L202"/>
    <hyperlink r:id="rId590" ref="O202"/>
    <hyperlink r:id="rId591" ref="G203"/>
    <hyperlink r:id="rId592" ref="L203"/>
    <hyperlink r:id="rId593" ref="O203"/>
    <hyperlink r:id="rId594" ref="G204"/>
    <hyperlink r:id="rId595" ref="L204"/>
    <hyperlink r:id="rId596" ref="O204"/>
    <hyperlink r:id="rId597" ref="G205"/>
    <hyperlink r:id="rId598" ref="L205"/>
    <hyperlink r:id="rId599" ref="O205"/>
    <hyperlink r:id="rId600" ref="G206"/>
    <hyperlink r:id="rId601" ref="L206"/>
    <hyperlink r:id="rId602" ref="O206"/>
    <hyperlink r:id="rId603" ref="G207"/>
    <hyperlink r:id="rId604" ref="L207"/>
    <hyperlink r:id="rId605" ref="O207"/>
    <hyperlink r:id="rId606" ref="G208"/>
    <hyperlink r:id="rId607" ref="L208"/>
    <hyperlink r:id="rId608" ref="O208"/>
    <hyperlink r:id="rId609" ref="G209"/>
    <hyperlink r:id="rId610" ref="L209"/>
    <hyperlink r:id="rId611" ref="O209"/>
    <hyperlink r:id="rId612" ref="G210"/>
    <hyperlink r:id="rId613" ref="L210"/>
    <hyperlink r:id="rId614" ref="O210"/>
    <hyperlink r:id="rId615" ref="G211"/>
    <hyperlink r:id="rId616" ref="L211"/>
    <hyperlink r:id="rId617" ref="O211"/>
    <hyperlink r:id="rId618" ref="G212"/>
    <hyperlink r:id="rId619" ref="L212"/>
    <hyperlink r:id="rId620" ref="O212"/>
    <hyperlink r:id="rId621" ref="G213"/>
    <hyperlink r:id="rId622" ref="L213"/>
    <hyperlink r:id="rId623" ref="O213"/>
    <hyperlink r:id="rId624" ref="G214"/>
    <hyperlink r:id="rId625" ref="L214"/>
    <hyperlink r:id="rId626" ref="O214"/>
    <hyperlink r:id="rId627" ref="G215"/>
    <hyperlink r:id="rId628" ref="L215"/>
    <hyperlink r:id="rId629" ref="O215"/>
    <hyperlink r:id="rId630" ref="G216"/>
    <hyperlink r:id="rId631" ref="L216"/>
    <hyperlink r:id="rId632" ref="O216"/>
    <hyperlink r:id="rId633" ref="G217"/>
    <hyperlink r:id="rId634" ref="L217"/>
    <hyperlink r:id="rId635" ref="O217"/>
    <hyperlink r:id="rId636" ref="G218"/>
    <hyperlink r:id="rId637" ref="L218"/>
    <hyperlink r:id="rId638" ref="O218"/>
    <hyperlink r:id="rId639" ref="G219"/>
    <hyperlink r:id="rId640" ref="L219"/>
    <hyperlink r:id="rId641" ref="O219"/>
    <hyperlink r:id="rId642" ref="G220"/>
    <hyperlink r:id="rId643" ref="O220"/>
    <hyperlink r:id="rId644" ref="G221"/>
    <hyperlink r:id="rId645" ref="L221"/>
    <hyperlink r:id="rId646" ref="O221"/>
    <hyperlink r:id="rId647" ref="G222"/>
    <hyperlink r:id="rId648" ref="L222"/>
    <hyperlink r:id="rId649" ref="O222"/>
    <hyperlink r:id="rId650" ref="G223"/>
    <hyperlink r:id="rId651" ref="L223"/>
    <hyperlink r:id="rId652" ref="O223"/>
    <hyperlink r:id="rId653" ref="G224"/>
    <hyperlink r:id="rId654" ref="L224"/>
    <hyperlink r:id="rId655" ref="O224"/>
    <hyperlink r:id="rId656" ref="G225"/>
    <hyperlink r:id="rId657" ref="L225"/>
    <hyperlink r:id="rId658" ref="O225"/>
    <hyperlink r:id="rId659" ref="G226"/>
    <hyperlink r:id="rId660" ref="L226"/>
    <hyperlink r:id="rId661" ref="O226"/>
    <hyperlink r:id="rId662" ref="G227"/>
    <hyperlink r:id="rId663" ref="L227"/>
    <hyperlink r:id="rId664" ref="O227"/>
    <hyperlink r:id="rId665" ref="G228"/>
    <hyperlink r:id="rId666" ref="L228"/>
    <hyperlink r:id="rId667" ref="O228"/>
    <hyperlink r:id="rId668" ref="G229"/>
    <hyperlink r:id="rId669" ref="L229"/>
    <hyperlink r:id="rId670" ref="O229"/>
    <hyperlink r:id="rId671" ref="G230"/>
    <hyperlink r:id="rId672" ref="L230"/>
    <hyperlink r:id="rId673" ref="O230"/>
    <hyperlink r:id="rId674" ref="G231"/>
    <hyperlink r:id="rId675" ref="L231"/>
    <hyperlink r:id="rId676" ref="O231"/>
    <hyperlink r:id="rId677" ref="G232"/>
    <hyperlink r:id="rId678" ref="L232"/>
    <hyperlink r:id="rId679" ref="O232"/>
    <hyperlink r:id="rId680" ref="G233"/>
    <hyperlink r:id="rId681" ref="L233"/>
    <hyperlink r:id="rId682" ref="O233"/>
    <hyperlink r:id="rId683" ref="G234"/>
    <hyperlink r:id="rId684" ref="L234"/>
    <hyperlink r:id="rId685" ref="O234"/>
    <hyperlink r:id="rId686" ref="G235"/>
    <hyperlink r:id="rId687" ref="L235"/>
    <hyperlink r:id="rId688" ref="O235"/>
    <hyperlink r:id="rId689" ref="G236"/>
    <hyperlink r:id="rId690" ref="L236"/>
    <hyperlink r:id="rId691" ref="O236"/>
    <hyperlink r:id="rId692" ref="G237"/>
    <hyperlink r:id="rId693" ref="L237"/>
    <hyperlink r:id="rId694" ref="O237"/>
    <hyperlink r:id="rId695" ref="G238"/>
    <hyperlink r:id="rId696" ref="L238"/>
    <hyperlink r:id="rId697" ref="O238"/>
    <hyperlink r:id="rId698" ref="G239"/>
    <hyperlink r:id="rId699" ref="L239"/>
    <hyperlink r:id="rId700" ref="O239"/>
    <hyperlink r:id="rId701" ref="G240"/>
    <hyperlink r:id="rId702" ref="L240"/>
    <hyperlink r:id="rId703" ref="O240"/>
    <hyperlink r:id="rId704" ref="G241"/>
    <hyperlink r:id="rId705" ref="L241"/>
    <hyperlink r:id="rId706" ref="O241"/>
    <hyperlink r:id="rId707" ref="G242"/>
    <hyperlink r:id="rId708" ref="L242"/>
    <hyperlink r:id="rId709" ref="O242"/>
    <hyperlink r:id="rId710" ref="G243"/>
    <hyperlink r:id="rId711" ref="L243"/>
    <hyperlink r:id="rId712" ref="O243"/>
    <hyperlink r:id="rId713" ref="G244"/>
    <hyperlink r:id="rId714" ref="L244"/>
    <hyperlink r:id="rId715" ref="O244"/>
    <hyperlink r:id="rId716" ref="G245"/>
    <hyperlink r:id="rId717" ref="L245"/>
    <hyperlink r:id="rId718" ref="O245"/>
    <hyperlink r:id="rId719" ref="G246"/>
    <hyperlink r:id="rId720" ref="L246"/>
    <hyperlink r:id="rId721" ref="O246"/>
    <hyperlink r:id="rId722" ref="G247"/>
    <hyperlink r:id="rId723" ref="L247"/>
    <hyperlink r:id="rId724" ref="O247"/>
    <hyperlink r:id="rId725" ref="G248"/>
    <hyperlink r:id="rId726" ref="L248"/>
    <hyperlink r:id="rId727" ref="O248"/>
    <hyperlink r:id="rId728" ref="G249"/>
    <hyperlink r:id="rId729" ref="L249"/>
    <hyperlink r:id="rId730" ref="O249"/>
    <hyperlink r:id="rId731" ref="G250"/>
    <hyperlink r:id="rId732" ref="L250"/>
    <hyperlink r:id="rId733" ref="O250"/>
    <hyperlink r:id="rId734" ref="G251"/>
    <hyperlink r:id="rId735" ref="L251"/>
    <hyperlink r:id="rId736" ref="O251"/>
    <hyperlink r:id="rId737" ref="G252"/>
    <hyperlink r:id="rId738" ref="L252"/>
    <hyperlink r:id="rId739" ref="O252"/>
    <hyperlink r:id="rId740" ref="G253"/>
    <hyperlink r:id="rId741" ref="L253"/>
    <hyperlink r:id="rId742" ref="O253"/>
    <hyperlink r:id="rId743" ref="G254"/>
    <hyperlink r:id="rId744" ref="O254"/>
    <hyperlink r:id="rId745" ref="G255"/>
    <hyperlink r:id="rId746" ref="O255"/>
    <hyperlink r:id="rId747" ref="G256"/>
    <hyperlink r:id="rId748" ref="L256"/>
    <hyperlink r:id="rId749" ref="O256"/>
    <hyperlink r:id="rId750" ref="G257"/>
    <hyperlink r:id="rId751" ref="O257"/>
    <hyperlink r:id="rId752" ref="G258"/>
    <hyperlink r:id="rId753" ref="L258"/>
    <hyperlink r:id="rId754" ref="O258"/>
    <hyperlink r:id="rId755" ref="G259"/>
    <hyperlink r:id="rId756" ref="L259"/>
    <hyperlink r:id="rId757" ref="O259"/>
    <hyperlink r:id="rId758" ref="G260"/>
    <hyperlink r:id="rId759" ref="L260"/>
    <hyperlink r:id="rId760" ref="O260"/>
    <hyperlink r:id="rId761" ref="G261"/>
    <hyperlink r:id="rId762" ref="L261"/>
    <hyperlink r:id="rId763" ref="O261"/>
    <hyperlink r:id="rId764" ref="G262"/>
    <hyperlink r:id="rId765" ref="O262"/>
    <hyperlink r:id="rId766" ref="G263"/>
    <hyperlink r:id="rId767" ref="O263"/>
    <hyperlink r:id="rId768" ref="G264"/>
    <hyperlink r:id="rId769" ref="L264"/>
    <hyperlink r:id="rId770" ref="O264"/>
    <hyperlink r:id="rId771" ref="G265"/>
    <hyperlink r:id="rId772" ref="O265"/>
    <hyperlink r:id="rId773" ref="G266"/>
    <hyperlink r:id="rId774" ref="O266"/>
    <hyperlink r:id="rId775" ref="G267"/>
    <hyperlink r:id="rId776" ref="O267"/>
    <hyperlink r:id="rId777" ref="G268"/>
    <hyperlink r:id="rId778" ref="O268"/>
    <hyperlink r:id="rId779" ref="G269"/>
    <hyperlink r:id="rId780" ref="O269"/>
    <hyperlink r:id="rId781" ref="G270"/>
    <hyperlink r:id="rId782" ref="O270"/>
    <hyperlink r:id="rId783" ref="G271"/>
    <hyperlink r:id="rId784" ref="L271"/>
    <hyperlink r:id="rId785" ref="O271"/>
    <hyperlink r:id="rId786" ref="G272"/>
    <hyperlink r:id="rId787" ref="L272"/>
    <hyperlink r:id="rId788" ref="O272"/>
    <hyperlink r:id="rId789" ref="G273"/>
    <hyperlink r:id="rId790" ref="L273"/>
    <hyperlink r:id="rId791" ref="O273"/>
    <hyperlink r:id="rId792" ref="G274"/>
    <hyperlink r:id="rId793" ref="L274"/>
    <hyperlink r:id="rId794" ref="O274"/>
    <hyperlink r:id="rId795" ref="G275"/>
    <hyperlink r:id="rId796" ref="L275"/>
    <hyperlink r:id="rId797" ref="O275"/>
    <hyperlink r:id="rId798" ref="G276"/>
    <hyperlink r:id="rId799" ref="L276"/>
    <hyperlink r:id="rId800" ref="O276"/>
    <hyperlink r:id="rId801" ref="G277"/>
    <hyperlink r:id="rId802" ref="L277"/>
    <hyperlink r:id="rId803" ref="O277"/>
    <hyperlink r:id="rId804" ref="G278"/>
    <hyperlink r:id="rId805" ref="L278"/>
    <hyperlink r:id="rId806" ref="O278"/>
    <hyperlink r:id="rId807" ref="G279"/>
    <hyperlink r:id="rId808" ref="L279"/>
    <hyperlink r:id="rId809" ref="O279"/>
    <hyperlink r:id="rId810" ref="G280"/>
    <hyperlink r:id="rId811" ref="L280"/>
    <hyperlink r:id="rId812" ref="O280"/>
    <hyperlink r:id="rId813" ref="G281"/>
    <hyperlink r:id="rId814" ref="L281"/>
    <hyperlink r:id="rId815" ref="O281"/>
    <hyperlink r:id="rId816" ref="G282"/>
    <hyperlink r:id="rId817" ref="L282"/>
    <hyperlink r:id="rId818" ref="O282"/>
    <hyperlink r:id="rId819" ref="G283"/>
    <hyperlink r:id="rId820" ref="L283"/>
    <hyperlink r:id="rId821" ref="O283"/>
    <hyperlink r:id="rId822" ref="G284"/>
    <hyperlink r:id="rId823" ref="L284"/>
    <hyperlink r:id="rId824" ref="O284"/>
    <hyperlink r:id="rId825" ref="G285"/>
    <hyperlink r:id="rId826" ref="L285"/>
    <hyperlink r:id="rId827" ref="O285"/>
    <hyperlink r:id="rId828" ref="G286"/>
    <hyperlink r:id="rId829" ref="L286"/>
    <hyperlink r:id="rId830" ref="G287"/>
    <hyperlink r:id="rId831" ref="L287"/>
    <hyperlink r:id="rId832" ref="O287"/>
    <hyperlink r:id="rId833" ref="G288"/>
    <hyperlink r:id="rId834" ref="L288"/>
    <hyperlink r:id="rId835" ref="O288"/>
    <hyperlink r:id="rId836" ref="G289"/>
    <hyperlink r:id="rId837" ref="L289"/>
    <hyperlink r:id="rId838" ref="O289"/>
    <hyperlink r:id="rId839" ref="G290"/>
    <hyperlink r:id="rId840" ref="L290"/>
    <hyperlink r:id="rId841" ref="O290"/>
    <hyperlink r:id="rId842" ref="G291"/>
    <hyperlink r:id="rId843" ref="L291"/>
    <hyperlink r:id="rId844" ref="O291"/>
    <hyperlink r:id="rId845" ref="G292"/>
    <hyperlink r:id="rId846" ref="L292"/>
    <hyperlink r:id="rId847" ref="O292"/>
    <hyperlink r:id="rId848" ref="G293"/>
    <hyperlink r:id="rId849" ref="L293"/>
    <hyperlink r:id="rId850" ref="O293"/>
    <hyperlink r:id="rId851" ref="G294"/>
    <hyperlink r:id="rId852" ref="L294"/>
    <hyperlink r:id="rId853" ref="O294"/>
    <hyperlink r:id="rId854" ref="G295"/>
    <hyperlink r:id="rId855" ref="L295"/>
    <hyperlink r:id="rId856" ref="O295"/>
    <hyperlink r:id="rId857" ref="G296"/>
    <hyperlink r:id="rId858" ref="L296"/>
    <hyperlink r:id="rId859" ref="O296"/>
    <hyperlink r:id="rId860" ref="G297"/>
    <hyperlink r:id="rId861" ref="L297"/>
    <hyperlink r:id="rId862" ref="O297"/>
    <hyperlink r:id="rId863" ref="G298"/>
    <hyperlink r:id="rId864" ref="L298"/>
    <hyperlink r:id="rId865" ref="O298"/>
    <hyperlink r:id="rId866" ref="G299"/>
    <hyperlink r:id="rId867" ref="L299"/>
    <hyperlink r:id="rId868" ref="O299"/>
    <hyperlink r:id="rId869" ref="G300"/>
    <hyperlink r:id="rId870" ref="L300"/>
    <hyperlink r:id="rId871" ref="O300"/>
    <hyperlink r:id="rId872" ref="G301"/>
    <hyperlink r:id="rId873" ref="L301"/>
    <hyperlink r:id="rId874" ref="O301"/>
    <hyperlink r:id="rId875" ref="G302"/>
    <hyperlink r:id="rId876" ref="O302"/>
    <hyperlink r:id="rId877" ref="G303"/>
    <hyperlink r:id="rId878" ref="O303"/>
    <hyperlink r:id="rId879" ref="G304"/>
    <hyperlink r:id="rId880" ref="L304"/>
    <hyperlink r:id="rId881" ref="O304"/>
    <hyperlink r:id="rId882" ref="G305"/>
    <hyperlink r:id="rId883" ref="L305"/>
    <hyperlink r:id="rId884" ref="O305"/>
    <hyperlink r:id="rId885" ref="G306"/>
    <hyperlink r:id="rId886" ref="L306"/>
    <hyperlink r:id="rId887" ref="O306"/>
    <hyperlink r:id="rId888" ref="G307"/>
    <hyperlink r:id="rId889" ref="L307"/>
    <hyperlink r:id="rId890" ref="O307"/>
    <hyperlink r:id="rId891" ref="G308"/>
    <hyperlink r:id="rId892" ref="L308"/>
    <hyperlink r:id="rId893" ref="O308"/>
    <hyperlink r:id="rId894" ref="G309"/>
    <hyperlink r:id="rId895" ref="L309"/>
    <hyperlink r:id="rId896" ref="O309"/>
    <hyperlink r:id="rId897" ref="G310"/>
    <hyperlink r:id="rId898" ref="L310"/>
    <hyperlink r:id="rId899" ref="O310"/>
    <hyperlink r:id="rId900" ref="G311"/>
    <hyperlink r:id="rId901" ref="L311"/>
    <hyperlink r:id="rId902" ref="O311"/>
    <hyperlink r:id="rId903" ref="G312"/>
    <hyperlink r:id="rId904" ref="L312"/>
    <hyperlink r:id="rId905" ref="O312"/>
    <hyperlink r:id="rId906" ref="G313"/>
    <hyperlink r:id="rId907" ref="L313"/>
    <hyperlink r:id="rId908" ref="O313"/>
    <hyperlink r:id="rId909" ref="G314"/>
    <hyperlink r:id="rId910" ref="L314"/>
    <hyperlink r:id="rId911" ref="O314"/>
    <hyperlink r:id="rId912" ref="G315"/>
    <hyperlink r:id="rId913" ref="L315"/>
    <hyperlink r:id="rId914" ref="O315"/>
    <hyperlink r:id="rId915" ref="G316"/>
    <hyperlink r:id="rId916" ref="L316"/>
    <hyperlink r:id="rId917" ref="O316"/>
    <hyperlink r:id="rId918" ref="G317"/>
    <hyperlink r:id="rId919" ref="L317"/>
    <hyperlink r:id="rId920" ref="O317"/>
    <hyperlink r:id="rId921" ref="G318"/>
    <hyperlink r:id="rId922" ref="O318"/>
    <hyperlink r:id="rId923" ref="G319"/>
    <hyperlink r:id="rId924" ref="L319"/>
    <hyperlink r:id="rId925" ref="O319"/>
    <hyperlink r:id="rId926" ref="G320"/>
    <hyperlink r:id="rId927" ref="O320"/>
    <hyperlink r:id="rId928" ref="G321"/>
    <hyperlink r:id="rId929" ref="L321"/>
    <hyperlink r:id="rId930" ref="O321"/>
    <hyperlink r:id="rId931" ref="G322"/>
    <hyperlink r:id="rId932" ref="L322"/>
    <hyperlink r:id="rId933" ref="O322"/>
    <hyperlink r:id="rId934" ref="G323"/>
    <hyperlink r:id="rId935" ref="L323"/>
    <hyperlink r:id="rId936" ref="O323"/>
    <hyperlink r:id="rId937" ref="G324"/>
    <hyperlink r:id="rId938" ref="L324"/>
    <hyperlink r:id="rId939" ref="O324"/>
    <hyperlink r:id="rId940" ref="G325"/>
    <hyperlink r:id="rId941" ref="L325"/>
    <hyperlink r:id="rId942" ref="O325"/>
    <hyperlink r:id="rId943" ref="G326"/>
    <hyperlink r:id="rId944" ref="L326"/>
    <hyperlink r:id="rId945" ref="O326"/>
    <hyperlink r:id="rId946" ref="G327"/>
    <hyperlink r:id="rId947" ref="L327"/>
    <hyperlink r:id="rId948" ref="O327"/>
    <hyperlink r:id="rId949" ref="G328"/>
    <hyperlink r:id="rId950" ref="L328"/>
    <hyperlink r:id="rId951" ref="O328"/>
    <hyperlink r:id="rId952" ref="G329"/>
    <hyperlink r:id="rId953" ref="L329"/>
    <hyperlink r:id="rId954" ref="O329"/>
    <hyperlink r:id="rId955" ref="G330"/>
    <hyperlink r:id="rId956" ref="L330"/>
    <hyperlink r:id="rId957" ref="O330"/>
    <hyperlink r:id="rId958" ref="G331"/>
    <hyperlink r:id="rId959" ref="O331"/>
    <hyperlink r:id="rId960" ref="G332"/>
    <hyperlink r:id="rId961" ref="O332"/>
    <hyperlink r:id="rId962" ref="G333"/>
    <hyperlink r:id="rId963" ref="L333"/>
    <hyperlink r:id="rId964" ref="O333"/>
    <hyperlink r:id="rId965" ref="G334"/>
    <hyperlink r:id="rId966" ref="L334"/>
    <hyperlink r:id="rId967" ref="O334"/>
    <hyperlink r:id="rId968" ref="G335"/>
    <hyperlink r:id="rId969" ref="L335"/>
    <hyperlink r:id="rId970" ref="O335"/>
    <hyperlink r:id="rId971" ref="G336"/>
    <hyperlink r:id="rId972" ref="L336"/>
    <hyperlink r:id="rId973" ref="O336"/>
    <hyperlink r:id="rId974" ref="G337"/>
    <hyperlink r:id="rId975" ref="L337"/>
    <hyperlink r:id="rId976" ref="O337"/>
    <hyperlink r:id="rId977" ref="G338"/>
    <hyperlink r:id="rId978" ref="L338"/>
    <hyperlink r:id="rId979" ref="O338"/>
    <hyperlink r:id="rId980" ref="G339"/>
    <hyperlink r:id="rId981" ref="L339"/>
    <hyperlink r:id="rId982" ref="O339"/>
    <hyperlink r:id="rId983" ref="G340"/>
    <hyperlink r:id="rId984" ref="L340"/>
    <hyperlink r:id="rId985" ref="O340"/>
    <hyperlink r:id="rId986" ref="G341"/>
    <hyperlink r:id="rId987" ref="L341"/>
    <hyperlink r:id="rId988" ref="O341"/>
    <hyperlink r:id="rId989" ref="G342"/>
    <hyperlink r:id="rId990" ref="L342"/>
    <hyperlink r:id="rId991" ref="O342"/>
    <hyperlink r:id="rId992" ref="G343"/>
    <hyperlink r:id="rId993" ref="L343"/>
    <hyperlink r:id="rId994" ref="O343"/>
    <hyperlink r:id="rId995" ref="G344"/>
    <hyperlink r:id="rId996" ref="L344"/>
    <hyperlink r:id="rId997" ref="O344"/>
    <hyperlink r:id="rId998" ref="G345"/>
    <hyperlink r:id="rId999" ref="L345"/>
    <hyperlink r:id="rId1000" ref="O345"/>
    <hyperlink r:id="rId1001" ref="G346"/>
    <hyperlink r:id="rId1002" ref="L346"/>
    <hyperlink r:id="rId1003" ref="O346"/>
    <hyperlink r:id="rId1004" ref="G347"/>
    <hyperlink r:id="rId1005" ref="L347"/>
    <hyperlink r:id="rId1006" ref="O347"/>
    <hyperlink r:id="rId1007" ref="G348"/>
    <hyperlink r:id="rId1008" ref="L348"/>
    <hyperlink r:id="rId1009" ref="O348"/>
    <hyperlink r:id="rId1010" ref="G349"/>
    <hyperlink r:id="rId1011" ref="L349"/>
    <hyperlink r:id="rId1012" ref="O349"/>
    <hyperlink r:id="rId1013" ref="G350"/>
    <hyperlink r:id="rId1014" ref="L350"/>
    <hyperlink r:id="rId1015" ref="O350"/>
    <hyperlink r:id="rId1016" ref="G351"/>
    <hyperlink r:id="rId1017" ref="L351"/>
    <hyperlink r:id="rId1018" ref="O351"/>
    <hyperlink r:id="rId1019" ref="G352"/>
    <hyperlink r:id="rId1020" ref="L352"/>
    <hyperlink r:id="rId1021" ref="O352"/>
    <hyperlink r:id="rId1022" ref="G353"/>
    <hyperlink r:id="rId1023" ref="L353"/>
    <hyperlink r:id="rId1024" ref="O353"/>
    <hyperlink r:id="rId1025" ref="G354"/>
    <hyperlink r:id="rId1026" ref="L354"/>
    <hyperlink r:id="rId1027" ref="O354"/>
    <hyperlink r:id="rId1028" ref="G355"/>
    <hyperlink r:id="rId1029" ref="L355"/>
    <hyperlink r:id="rId1030" ref="O355"/>
    <hyperlink r:id="rId1031" ref="G356"/>
    <hyperlink r:id="rId1032" ref="L356"/>
    <hyperlink r:id="rId1033" ref="O356"/>
    <hyperlink r:id="rId1034" ref="G357"/>
    <hyperlink r:id="rId1035" ref="L357"/>
    <hyperlink r:id="rId1036" ref="O357"/>
    <hyperlink r:id="rId1037" ref="G358"/>
    <hyperlink r:id="rId1038" ref="L358"/>
    <hyperlink r:id="rId1039" ref="O358"/>
    <hyperlink r:id="rId1040" ref="G359"/>
    <hyperlink r:id="rId1041" ref="L359"/>
    <hyperlink r:id="rId1042" ref="O359"/>
    <hyperlink r:id="rId1043" ref="G361"/>
    <hyperlink r:id="rId1044" ref="L361"/>
    <hyperlink r:id="rId1045" ref="O361"/>
    <hyperlink r:id="rId1046" ref="G362"/>
    <hyperlink r:id="rId1047" ref="G363"/>
    <hyperlink r:id="rId1048" ref="L363"/>
    <hyperlink r:id="rId1049" ref="O363"/>
    <hyperlink r:id="rId1050" ref="G364"/>
    <hyperlink r:id="rId1051" ref="L364"/>
    <hyperlink r:id="rId1052" ref="O364"/>
    <hyperlink r:id="rId1053" ref="G365"/>
    <hyperlink r:id="rId1054" ref="O365"/>
    <hyperlink r:id="rId1055" ref="G366"/>
    <hyperlink r:id="rId1056" ref="L366"/>
    <hyperlink r:id="rId1057" ref="O366"/>
    <hyperlink r:id="rId1058" ref="G367"/>
    <hyperlink r:id="rId1059" ref="L367"/>
    <hyperlink r:id="rId1060" ref="O367"/>
    <hyperlink r:id="rId1061" ref="G368"/>
    <hyperlink r:id="rId1062" ref="L368"/>
    <hyperlink r:id="rId1063" ref="G369"/>
    <hyperlink r:id="rId1064" ref="L369"/>
    <hyperlink r:id="rId1065" ref="O369"/>
    <hyperlink r:id="rId1066" ref="G370"/>
    <hyperlink r:id="rId1067" ref="L370"/>
    <hyperlink r:id="rId1068" ref="O370"/>
    <hyperlink r:id="rId1069" ref="G371"/>
    <hyperlink r:id="rId1070" ref="G372"/>
    <hyperlink r:id="rId1071" ref="L372"/>
    <hyperlink r:id="rId1072" ref="G373"/>
    <hyperlink r:id="rId1073" ref="O37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074"/>
  <tableParts count="1">
    <tablePart r:id="rId107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  <row r="995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</row>
    <row r="996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</row>
    <row r="997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</row>
    <row r="998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</row>
    <row r="999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</row>
    <row r="1000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22.75"/>
    <col hidden="1" min="2" max="4" width="12.63"/>
    <col customWidth="1" min="6" max="6" width="27.5"/>
    <col customWidth="1" min="7" max="7" width="27.25"/>
    <col customWidth="1" min="8" max="8" width="27.88"/>
    <col customWidth="1" min="9" max="9" width="24.38"/>
    <col customWidth="1" min="10" max="10" width="25.0"/>
    <col customWidth="1" hidden="1" min="11" max="11" width="17.5"/>
  </cols>
  <sheetData>
    <row r="1">
      <c r="E1" s="69"/>
      <c r="F1" s="69"/>
      <c r="G1" s="70"/>
      <c r="H1" s="70"/>
      <c r="I1" s="70"/>
      <c r="J1" s="70"/>
      <c r="K1" s="71" t="s">
        <v>1719</v>
      </c>
      <c r="M1" s="72"/>
      <c r="N1" s="72" t="s">
        <v>1</v>
      </c>
      <c r="O1" s="72"/>
      <c r="P1" s="72"/>
      <c r="Q1" s="72"/>
    </row>
    <row r="2">
      <c r="K2" s="21">
        <f t="shared" ref="K2:K60" si="1">SUM(H2:J2)</f>
        <v>0</v>
      </c>
      <c r="M2" s="73"/>
      <c r="N2" s="74" t="s">
        <v>16</v>
      </c>
      <c r="O2" s="74" t="s">
        <v>19</v>
      </c>
      <c r="P2" s="74" t="s">
        <v>22</v>
      </c>
      <c r="Q2" s="74" t="s">
        <v>27</v>
      </c>
    </row>
    <row r="3">
      <c r="K3" s="21">
        <f t="shared" si="1"/>
        <v>0</v>
      </c>
      <c r="M3" s="73" t="s">
        <v>4</v>
      </c>
      <c r="N3" s="73">
        <v>3.0</v>
      </c>
      <c r="O3" s="73">
        <v>34.0</v>
      </c>
      <c r="P3" s="73">
        <v>24.0</v>
      </c>
      <c r="Q3" s="73">
        <v>61.0</v>
      </c>
    </row>
    <row r="4">
      <c r="K4" s="21">
        <f t="shared" si="1"/>
        <v>0</v>
      </c>
    </row>
    <row r="5">
      <c r="K5" s="21">
        <f t="shared" si="1"/>
        <v>18</v>
      </c>
    </row>
    <row r="6">
      <c r="K6" s="21">
        <f t="shared" si="1"/>
        <v>18</v>
      </c>
    </row>
    <row r="7">
      <c r="K7" s="21">
        <f t="shared" si="1"/>
        <v>6</v>
      </c>
    </row>
    <row r="8">
      <c r="K8" s="21">
        <f t="shared" si="1"/>
        <v>6</v>
      </c>
    </row>
    <row r="9">
      <c r="K9" s="21">
        <f t="shared" si="1"/>
        <v>65</v>
      </c>
    </row>
    <row r="10">
      <c r="K10" s="21">
        <f t="shared" si="1"/>
        <v>42</v>
      </c>
    </row>
    <row r="11">
      <c r="K11" s="21">
        <f t="shared" si="1"/>
        <v>39</v>
      </c>
    </row>
    <row r="12">
      <c r="K12" s="21">
        <f t="shared" si="1"/>
        <v>0</v>
      </c>
    </row>
    <row r="13">
      <c r="K13" s="21">
        <f t="shared" si="1"/>
        <v>79</v>
      </c>
    </row>
    <row r="14">
      <c r="K14" s="21">
        <f t="shared" si="1"/>
        <v>79</v>
      </c>
    </row>
    <row r="15">
      <c r="K15" s="21">
        <f t="shared" si="1"/>
        <v>30</v>
      </c>
    </row>
    <row r="16">
      <c r="K16" s="21">
        <f t="shared" si="1"/>
        <v>334</v>
      </c>
    </row>
    <row r="17">
      <c r="K17" s="21">
        <f t="shared" si="1"/>
        <v>238.8363636</v>
      </c>
    </row>
    <row r="18">
      <c r="K18" s="21">
        <f t="shared" si="1"/>
        <v>65</v>
      </c>
    </row>
    <row r="19">
      <c r="K19" s="21">
        <f t="shared" si="1"/>
        <v>150</v>
      </c>
    </row>
    <row r="20">
      <c r="K20" s="21">
        <f t="shared" si="1"/>
        <v>71</v>
      </c>
    </row>
    <row r="21">
      <c r="K21" s="21">
        <f t="shared" si="1"/>
        <v>62</v>
      </c>
    </row>
    <row r="22">
      <c r="K22" s="21">
        <f t="shared" si="1"/>
        <v>586.8363636</v>
      </c>
    </row>
    <row r="23">
      <c r="K23" s="21">
        <f t="shared" si="1"/>
        <v>69.23636364</v>
      </c>
    </row>
    <row r="24">
      <c r="K24" s="21">
        <f t="shared" si="1"/>
        <v>123</v>
      </c>
    </row>
    <row r="25">
      <c r="K25" s="21">
        <f t="shared" si="1"/>
        <v>134</v>
      </c>
    </row>
    <row r="26">
      <c r="K26" s="21">
        <f t="shared" si="1"/>
        <v>227</v>
      </c>
    </row>
    <row r="27">
      <c r="K27" s="21">
        <f t="shared" si="1"/>
        <v>168</v>
      </c>
    </row>
    <row r="28">
      <c r="K28" s="21">
        <f t="shared" si="1"/>
        <v>177</v>
      </c>
    </row>
    <row r="29">
      <c r="K29" s="21">
        <f t="shared" si="1"/>
        <v>197</v>
      </c>
    </row>
    <row r="30">
      <c r="K30" s="21">
        <f t="shared" si="1"/>
        <v>45</v>
      </c>
    </row>
    <row r="31">
      <c r="K31" s="21">
        <f t="shared" si="1"/>
        <v>228</v>
      </c>
    </row>
    <row r="32">
      <c r="K32" s="21">
        <f t="shared" si="1"/>
        <v>26</v>
      </c>
    </row>
    <row r="33">
      <c r="K33" s="21">
        <f t="shared" si="1"/>
        <v>1394.236364</v>
      </c>
    </row>
    <row r="34">
      <c r="K34" s="21">
        <f t="shared" si="1"/>
        <v>28</v>
      </c>
    </row>
    <row r="35">
      <c r="K35" s="21">
        <f t="shared" si="1"/>
        <v>28</v>
      </c>
    </row>
    <row r="36">
      <c r="K36" s="21">
        <f t="shared" si="1"/>
        <v>26</v>
      </c>
    </row>
    <row r="37">
      <c r="K37" s="21">
        <f t="shared" si="1"/>
        <v>2</v>
      </c>
    </row>
    <row r="38">
      <c r="K38" s="21">
        <f t="shared" si="1"/>
        <v>1</v>
      </c>
    </row>
    <row r="39">
      <c r="K39" s="21">
        <f t="shared" si="1"/>
        <v>92</v>
      </c>
    </row>
    <row r="40">
      <c r="K40" s="21">
        <f t="shared" si="1"/>
        <v>124</v>
      </c>
    </row>
    <row r="41">
      <c r="K41" s="21">
        <f t="shared" si="1"/>
        <v>2</v>
      </c>
    </row>
    <row r="42">
      <c r="K42" s="21">
        <f t="shared" si="1"/>
        <v>247</v>
      </c>
    </row>
    <row r="43">
      <c r="K43" s="21">
        <f t="shared" si="1"/>
        <v>12</v>
      </c>
    </row>
    <row r="44">
      <c r="K44" s="21">
        <f t="shared" si="1"/>
        <v>158</v>
      </c>
    </row>
    <row r="45">
      <c r="K45" s="21">
        <f t="shared" si="1"/>
        <v>113</v>
      </c>
    </row>
    <row r="46">
      <c r="K46" s="21">
        <f t="shared" si="1"/>
        <v>64</v>
      </c>
    </row>
    <row r="47">
      <c r="K47" s="21">
        <f t="shared" si="1"/>
        <v>83</v>
      </c>
    </row>
    <row r="48">
      <c r="K48" s="21">
        <f t="shared" si="1"/>
        <v>430</v>
      </c>
    </row>
    <row r="49">
      <c r="K49" s="21">
        <f t="shared" si="1"/>
        <v>215.0272727</v>
      </c>
    </row>
    <row r="50">
      <c r="K50" s="21">
        <f t="shared" si="1"/>
        <v>41</v>
      </c>
    </row>
    <row r="51">
      <c r="K51" s="21">
        <f t="shared" si="1"/>
        <v>64</v>
      </c>
    </row>
    <row r="52">
      <c r="K52" s="21">
        <f t="shared" si="1"/>
        <v>94</v>
      </c>
    </row>
    <row r="53">
      <c r="K53" s="21">
        <f t="shared" si="1"/>
        <v>192</v>
      </c>
    </row>
    <row r="54">
      <c r="K54" s="21">
        <f t="shared" si="1"/>
        <v>2</v>
      </c>
    </row>
    <row r="55">
      <c r="K55" s="21">
        <f t="shared" si="1"/>
        <v>69</v>
      </c>
    </row>
    <row r="56">
      <c r="K56" s="21">
        <f t="shared" si="1"/>
        <v>192</v>
      </c>
    </row>
    <row r="57">
      <c r="K57" s="21">
        <f t="shared" si="1"/>
        <v>869.0272727</v>
      </c>
    </row>
    <row r="58">
      <c r="K58" s="21">
        <f t="shared" si="1"/>
        <v>0</v>
      </c>
    </row>
    <row r="59">
      <c r="K59" s="21">
        <f t="shared" si="1"/>
        <v>5</v>
      </c>
    </row>
    <row r="60">
      <c r="K60" s="21">
        <f t="shared" si="1"/>
        <v>11</v>
      </c>
    </row>
    <row r="61"/>
    <row r="62"/>
    <row r="63"/>
    <row r="64"/>
    <row r="65"/>
    <row r="66"/>
    <row r="67"/>
    <row r="68"/>
    <row r="69">
      <c r="G69" s="75"/>
      <c r="H69" s="75"/>
      <c r="I69" s="75"/>
      <c r="J69" s="75"/>
    </row>
    <row r="70">
      <c r="G70" s="75"/>
      <c r="H70" s="75"/>
      <c r="I70" s="75"/>
      <c r="J70" s="75"/>
    </row>
    <row r="71">
      <c r="G71" s="75"/>
      <c r="H71" s="75"/>
      <c r="I71" s="75"/>
      <c r="J71" s="75"/>
    </row>
    <row r="72">
      <c r="G72" s="75"/>
      <c r="H72" s="75"/>
      <c r="I72" s="75"/>
      <c r="J72" s="75"/>
    </row>
    <row r="73">
      <c r="G73" s="75"/>
      <c r="H73" s="75"/>
      <c r="I73" s="75"/>
      <c r="J73" s="75"/>
    </row>
    <row r="74">
      <c r="G74" s="75"/>
      <c r="H74" s="75"/>
      <c r="I74" s="75"/>
      <c r="J74" s="75"/>
    </row>
    <row r="75">
      <c r="G75" s="75"/>
      <c r="H75" s="75"/>
      <c r="I75" s="75"/>
      <c r="J75" s="75"/>
    </row>
    <row r="76">
      <c r="G76" s="75"/>
      <c r="H76" s="75"/>
      <c r="I76" s="75"/>
      <c r="J76" s="75"/>
    </row>
    <row r="77">
      <c r="G77" s="75"/>
      <c r="H77" s="75"/>
      <c r="I77" s="75"/>
      <c r="J77" s="75"/>
    </row>
    <row r="78">
      <c r="G78" s="75"/>
      <c r="H78" s="75"/>
      <c r="I78" s="75"/>
      <c r="J78" s="75"/>
    </row>
    <row r="79">
      <c r="G79" s="75"/>
      <c r="H79" s="75"/>
      <c r="I79" s="75"/>
      <c r="J79" s="75"/>
    </row>
    <row r="80">
      <c r="G80" s="75"/>
      <c r="H80" s="75"/>
      <c r="I80" s="75"/>
      <c r="J80" s="75"/>
    </row>
    <row r="81">
      <c r="G81" s="75"/>
      <c r="H81" s="75"/>
      <c r="I81" s="75"/>
      <c r="J81" s="75"/>
    </row>
    <row r="82">
      <c r="G82" s="75"/>
      <c r="H82" s="75"/>
      <c r="I82" s="75"/>
      <c r="J82" s="75"/>
    </row>
    <row r="83">
      <c r="G83" s="75"/>
      <c r="H83" s="75"/>
      <c r="I83" s="75"/>
      <c r="J83" s="75"/>
    </row>
    <row r="84">
      <c r="G84" s="75"/>
      <c r="H84" s="75"/>
      <c r="I84" s="75"/>
      <c r="J84" s="75"/>
    </row>
    <row r="85">
      <c r="G85" s="75"/>
      <c r="H85" s="75"/>
      <c r="I85" s="75"/>
      <c r="J85" s="75"/>
    </row>
    <row r="86">
      <c r="G86" s="75"/>
      <c r="H86" s="75"/>
      <c r="I86" s="75"/>
      <c r="J86" s="75"/>
    </row>
    <row r="87">
      <c r="G87" s="75"/>
      <c r="H87" s="75"/>
      <c r="I87" s="75"/>
      <c r="J87" s="75"/>
    </row>
    <row r="88">
      <c r="G88" s="75"/>
      <c r="H88" s="75"/>
      <c r="I88" s="75"/>
      <c r="J88" s="75"/>
    </row>
    <row r="89">
      <c r="G89" s="75"/>
      <c r="H89" s="75"/>
      <c r="I89" s="75"/>
      <c r="J89" s="75"/>
    </row>
    <row r="90">
      <c r="G90" s="75"/>
      <c r="H90" s="75"/>
      <c r="I90" s="75"/>
      <c r="J90" s="75"/>
    </row>
    <row r="91">
      <c r="G91" s="75"/>
      <c r="H91" s="75"/>
      <c r="I91" s="75"/>
      <c r="J91" s="75"/>
    </row>
    <row r="92">
      <c r="G92" s="75"/>
      <c r="H92" s="75"/>
      <c r="I92" s="75"/>
      <c r="J92" s="75"/>
    </row>
    <row r="93">
      <c r="G93" s="75"/>
      <c r="H93" s="75"/>
      <c r="I93" s="75"/>
      <c r="J93" s="75"/>
    </row>
    <row r="94">
      <c r="G94" s="75"/>
      <c r="H94" s="75"/>
      <c r="I94" s="75"/>
      <c r="J94" s="75"/>
    </row>
    <row r="95">
      <c r="G95" s="75"/>
      <c r="H95" s="75"/>
      <c r="I95" s="75"/>
      <c r="J95" s="75"/>
    </row>
    <row r="96">
      <c r="G96" s="75"/>
      <c r="H96" s="75"/>
      <c r="I96" s="75"/>
      <c r="J96" s="75"/>
    </row>
    <row r="97">
      <c r="G97" s="75"/>
      <c r="H97" s="75"/>
      <c r="I97" s="75"/>
      <c r="J97" s="75"/>
    </row>
    <row r="98">
      <c r="G98" s="75"/>
      <c r="H98" s="75"/>
      <c r="I98" s="75"/>
      <c r="J98" s="75"/>
    </row>
    <row r="99">
      <c r="G99" s="75"/>
      <c r="H99" s="75"/>
      <c r="I99" s="75"/>
      <c r="J99" s="75"/>
    </row>
    <row r="100">
      <c r="G100" s="75"/>
      <c r="H100" s="75"/>
      <c r="I100" s="75"/>
      <c r="J100" s="75"/>
    </row>
    <row r="101">
      <c r="G101" s="75"/>
      <c r="H101" s="75"/>
      <c r="I101" s="75"/>
      <c r="J101" s="75"/>
    </row>
    <row r="102">
      <c r="G102" s="75"/>
      <c r="H102" s="75"/>
      <c r="I102" s="75"/>
      <c r="J102" s="75"/>
    </row>
    <row r="103">
      <c r="G103" s="75"/>
      <c r="H103" s="75"/>
      <c r="I103" s="75"/>
      <c r="J103" s="75"/>
    </row>
    <row r="104">
      <c r="G104" s="75"/>
      <c r="H104" s="75"/>
      <c r="I104" s="75"/>
      <c r="J104" s="75"/>
    </row>
    <row r="105">
      <c r="G105" s="75"/>
      <c r="H105" s="75"/>
      <c r="I105" s="75"/>
      <c r="J105" s="75"/>
    </row>
    <row r="106">
      <c r="G106" s="75"/>
      <c r="H106" s="75"/>
      <c r="I106" s="75"/>
      <c r="J106" s="75"/>
    </row>
    <row r="107">
      <c r="G107" s="75"/>
      <c r="H107" s="75"/>
      <c r="I107" s="75"/>
      <c r="J107" s="75"/>
    </row>
    <row r="108">
      <c r="G108" s="75"/>
      <c r="H108" s="75"/>
      <c r="I108" s="75"/>
      <c r="J108" s="75"/>
    </row>
    <row r="109">
      <c r="G109" s="75"/>
      <c r="H109" s="75"/>
      <c r="I109" s="75"/>
      <c r="J109" s="75"/>
    </row>
    <row r="110">
      <c r="G110" s="75"/>
      <c r="H110" s="75"/>
      <c r="I110" s="75"/>
      <c r="J110" s="75"/>
    </row>
    <row r="111">
      <c r="G111" s="75"/>
      <c r="H111" s="75"/>
      <c r="I111" s="75"/>
      <c r="J111" s="75"/>
    </row>
    <row r="112">
      <c r="G112" s="75"/>
      <c r="H112" s="75"/>
      <c r="I112" s="75"/>
      <c r="J112" s="75"/>
    </row>
    <row r="113">
      <c r="G113" s="75"/>
      <c r="H113" s="75"/>
      <c r="I113" s="75"/>
      <c r="J113" s="75"/>
    </row>
    <row r="114">
      <c r="G114" s="75"/>
      <c r="H114" s="75"/>
      <c r="I114" s="75"/>
      <c r="J114" s="75"/>
    </row>
    <row r="115">
      <c r="G115" s="75"/>
      <c r="H115" s="75"/>
      <c r="I115" s="75"/>
      <c r="J115" s="75"/>
    </row>
    <row r="116">
      <c r="G116" s="75"/>
      <c r="H116" s="75"/>
      <c r="I116" s="75"/>
      <c r="J116" s="75"/>
    </row>
    <row r="117">
      <c r="G117" s="75"/>
      <c r="H117" s="75"/>
      <c r="I117" s="75"/>
      <c r="J117" s="75"/>
    </row>
    <row r="118">
      <c r="G118" s="75"/>
      <c r="H118" s="75"/>
      <c r="I118" s="75"/>
      <c r="J118" s="75"/>
    </row>
    <row r="119">
      <c r="G119" s="75"/>
      <c r="H119" s="75"/>
      <c r="I119" s="75"/>
      <c r="J119" s="75"/>
    </row>
    <row r="120">
      <c r="G120" s="75"/>
      <c r="H120" s="75"/>
      <c r="I120" s="75"/>
      <c r="J120" s="75"/>
    </row>
    <row r="121">
      <c r="G121" s="75"/>
      <c r="H121" s="75"/>
      <c r="I121" s="75"/>
      <c r="J121" s="75"/>
    </row>
    <row r="122">
      <c r="G122" s="75"/>
      <c r="H122" s="75"/>
      <c r="I122" s="75"/>
      <c r="J122" s="75"/>
    </row>
    <row r="123">
      <c r="G123" s="75"/>
      <c r="H123" s="75"/>
      <c r="I123" s="75"/>
      <c r="J123" s="75"/>
    </row>
    <row r="124">
      <c r="G124" s="75"/>
      <c r="H124" s="75"/>
      <c r="I124" s="75"/>
      <c r="J124" s="75"/>
    </row>
    <row r="125">
      <c r="G125" s="75"/>
      <c r="H125" s="75"/>
      <c r="I125" s="75"/>
      <c r="J125" s="75"/>
    </row>
    <row r="126">
      <c r="G126" s="75"/>
      <c r="H126" s="75"/>
      <c r="I126" s="75"/>
      <c r="J126" s="75"/>
    </row>
    <row r="127">
      <c r="G127" s="75"/>
      <c r="H127" s="75"/>
      <c r="I127" s="75"/>
      <c r="J127" s="75"/>
    </row>
    <row r="128">
      <c r="G128" s="75"/>
      <c r="H128" s="75"/>
      <c r="I128" s="75"/>
      <c r="J128" s="75"/>
    </row>
    <row r="129">
      <c r="G129" s="75"/>
      <c r="H129" s="75"/>
      <c r="I129" s="75"/>
      <c r="J129" s="75"/>
    </row>
    <row r="130">
      <c r="G130" s="75"/>
      <c r="H130" s="75"/>
      <c r="I130" s="75"/>
      <c r="J130" s="75"/>
    </row>
    <row r="131">
      <c r="G131" s="75"/>
      <c r="H131" s="75"/>
      <c r="I131" s="75"/>
      <c r="J131" s="75"/>
    </row>
    <row r="132">
      <c r="G132" s="75"/>
      <c r="H132" s="75"/>
      <c r="I132" s="75"/>
      <c r="J132" s="75"/>
    </row>
    <row r="133">
      <c r="G133" s="75"/>
      <c r="H133" s="75"/>
      <c r="I133" s="75"/>
      <c r="J133" s="75"/>
    </row>
    <row r="134">
      <c r="G134" s="75"/>
      <c r="H134" s="75"/>
      <c r="I134" s="75"/>
      <c r="J134" s="75"/>
    </row>
    <row r="135">
      <c r="G135" s="75"/>
      <c r="H135" s="75"/>
      <c r="I135" s="75"/>
      <c r="J135" s="75"/>
    </row>
    <row r="136">
      <c r="G136" s="75"/>
      <c r="H136" s="75"/>
      <c r="I136" s="75"/>
      <c r="J136" s="75"/>
    </row>
    <row r="137">
      <c r="G137" s="75"/>
      <c r="H137" s="75"/>
      <c r="I137" s="75"/>
      <c r="J137" s="75"/>
    </row>
    <row r="138">
      <c r="G138" s="75"/>
      <c r="H138" s="75"/>
      <c r="I138" s="75"/>
      <c r="J138" s="75"/>
    </row>
    <row r="139">
      <c r="G139" s="75"/>
      <c r="H139" s="75"/>
      <c r="I139" s="75"/>
      <c r="J139" s="75"/>
    </row>
    <row r="140">
      <c r="G140" s="75"/>
      <c r="H140" s="75"/>
      <c r="I140" s="75"/>
      <c r="J140" s="75"/>
    </row>
    <row r="141">
      <c r="G141" s="75"/>
      <c r="H141" s="75"/>
      <c r="I141" s="75"/>
      <c r="J141" s="75"/>
    </row>
    <row r="142">
      <c r="G142" s="75"/>
      <c r="H142" s="75"/>
      <c r="I142" s="75"/>
      <c r="J142" s="75"/>
    </row>
    <row r="143">
      <c r="G143" s="75"/>
      <c r="H143" s="75"/>
      <c r="I143" s="75"/>
      <c r="J143" s="75"/>
    </row>
    <row r="144">
      <c r="G144" s="75"/>
      <c r="H144" s="75"/>
      <c r="I144" s="75"/>
      <c r="J144" s="75"/>
    </row>
    <row r="145">
      <c r="G145" s="75"/>
      <c r="H145" s="75"/>
      <c r="I145" s="75"/>
      <c r="J145" s="75"/>
    </row>
    <row r="146">
      <c r="G146" s="75"/>
      <c r="H146" s="75"/>
      <c r="I146" s="75"/>
      <c r="J146" s="75"/>
    </row>
    <row r="147">
      <c r="G147" s="75"/>
      <c r="H147" s="75"/>
      <c r="I147" s="75"/>
      <c r="J147" s="75"/>
    </row>
    <row r="148">
      <c r="G148" s="75"/>
      <c r="H148" s="75"/>
      <c r="I148" s="75"/>
      <c r="J148" s="75"/>
    </row>
    <row r="149">
      <c r="G149" s="75"/>
      <c r="H149" s="75"/>
      <c r="I149" s="75"/>
      <c r="J149" s="75"/>
    </row>
    <row r="150">
      <c r="G150" s="75"/>
      <c r="H150" s="75"/>
      <c r="I150" s="75"/>
      <c r="J150" s="75"/>
    </row>
    <row r="151">
      <c r="G151" s="75"/>
      <c r="H151" s="75"/>
      <c r="I151" s="75"/>
      <c r="J151" s="75"/>
    </row>
    <row r="152">
      <c r="G152" s="75"/>
      <c r="H152" s="75"/>
      <c r="I152" s="75"/>
      <c r="J152" s="75"/>
    </row>
    <row r="153">
      <c r="G153" s="75"/>
      <c r="H153" s="75"/>
      <c r="I153" s="75"/>
      <c r="J153" s="75"/>
    </row>
    <row r="154">
      <c r="G154" s="75"/>
      <c r="H154" s="75"/>
      <c r="I154" s="75"/>
      <c r="J154" s="75"/>
    </row>
    <row r="155">
      <c r="G155" s="75"/>
      <c r="H155" s="75"/>
      <c r="I155" s="75"/>
      <c r="J155" s="75"/>
    </row>
    <row r="156">
      <c r="G156" s="75"/>
      <c r="H156" s="75"/>
      <c r="I156" s="75"/>
      <c r="J156" s="75"/>
    </row>
    <row r="157">
      <c r="G157" s="75"/>
      <c r="H157" s="75"/>
      <c r="I157" s="75"/>
      <c r="J157" s="75"/>
    </row>
    <row r="158">
      <c r="G158" s="75"/>
      <c r="H158" s="75"/>
      <c r="I158" s="75"/>
      <c r="J158" s="75"/>
    </row>
    <row r="159">
      <c r="G159" s="75"/>
      <c r="H159" s="75"/>
      <c r="I159" s="75"/>
      <c r="J159" s="75"/>
    </row>
    <row r="160">
      <c r="G160" s="75"/>
      <c r="H160" s="75"/>
      <c r="I160" s="75"/>
      <c r="J160" s="75"/>
    </row>
    <row r="161">
      <c r="G161" s="75"/>
      <c r="H161" s="75"/>
      <c r="I161" s="75"/>
      <c r="J161" s="75"/>
    </row>
    <row r="162">
      <c r="G162" s="75"/>
      <c r="H162" s="75"/>
      <c r="I162" s="75"/>
      <c r="J162" s="75"/>
    </row>
    <row r="163">
      <c r="G163" s="75"/>
      <c r="H163" s="75"/>
      <c r="I163" s="75"/>
      <c r="J163" s="75"/>
    </row>
    <row r="164">
      <c r="G164" s="75"/>
      <c r="H164" s="75"/>
      <c r="I164" s="75"/>
      <c r="J164" s="75"/>
    </row>
    <row r="165">
      <c r="G165" s="75"/>
      <c r="H165" s="75"/>
      <c r="I165" s="75"/>
      <c r="J165" s="75"/>
    </row>
    <row r="166">
      <c r="G166" s="75"/>
      <c r="H166" s="75"/>
      <c r="I166" s="75"/>
      <c r="J166" s="75"/>
    </row>
    <row r="167">
      <c r="G167" s="75"/>
      <c r="H167" s="75"/>
      <c r="I167" s="75"/>
      <c r="J167" s="75"/>
    </row>
    <row r="168">
      <c r="G168" s="75"/>
      <c r="H168" s="75"/>
      <c r="I168" s="75"/>
      <c r="J168" s="75"/>
    </row>
    <row r="169">
      <c r="G169" s="75"/>
      <c r="H169" s="75"/>
      <c r="I169" s="75"/>
      <c r="J169" s="75"/>
    </row>
    <row r="170">
      <c r="G170" s="75"/>
      <c r="H170" s="75"/>
      <c r="I170" s="75"/>
      <c r="J170" s="75"/>
    </row>
    <row r="171">
      <c r="G171" s="75"/>
      <c r="H171" s="75"/>
      <c r="I171" s="75"/>
      <c r="J171" s="75"/>
    </row>
    <row r="172">
      <c r="G172" s="75"/>
      <c r="H172" s="75"/>
      <c r="I172" s="75"/>
      <c r="J172" s="75"/>
    </row>
    <row r="173">
      <c r="G173" s="75"/>
      <c r="H173" s="75"/>
      <c r="I173" s="75"/>
      <c r="J173" s="75"/>
    </row>
    <row r="174">
      <c r="G174" s="75"/>
      <c r="H174" s="75"/>
      <c r="I174" s="75"/>
      <c r="J174" s="75"/>
    </row>
    <row r="175">
      <c r="G175" s="75"/>
      <c r="H175" s="75"/>
      <c r="I175" s="75"/>
      <c r="J175" s="75"/>
    </row>
    <row r="176">
      <c r="G176" s="75"/>
      <c r="H176" s="75"/>
      <c r="I176" s="75"/>
      <c r="J176" s="75"/>
    </row>
    <row r="177">
      <c r="G177" s="75"/>
      <c r="H177" s="75"/>
      <c r="I177" s="75"/>
      <c r="J177" s="75"/>
    </row>
    <row r="178">
      <c r="G178" s="75"/>
      <c r="H178" s="75"/>
      <c r="I178" s="75"/>
      <c r="J178" s="75"/>
    </row>
    <row r="179">
      <c r="G179" s="75"/>
      <c r="H179" s="75"/>
      <c r="I179" s="75"/>
      <c r="J179" s="75"/>
    </row>
    <row r="180">
      <c r="G180" s="75"/>
      <c r="H180" s="75"/>
      <c r="I180" s="75"/>
      <c r="J180" s="75"/>
    </row>
    <row r="181">
      <c r="G181" s="75"/>
      <c r="H181" s="75"/>
      <c r="I181" s="75"/>
      <c r="J181" s="75"/>
    </row>
    <row r="182">
      <c r="G182" s="75"/>
      <c r="H182" s="75"/>
      <c r="I182" s="75"/>
      <c r="J182" s="75"/>
    </row>
    <row r="183">
      <c r="G183" s="75"/>
      <c r="H183" s="75"/>
      <c r="I183" s="75"/>
      <c r="J183" s="75"/>
    </row>
    <row r="184">
      <c r="G184" s="75"/>
      <c r="H184" s="75"/>
      <c r="I184" s="75"/>
      <c r="J184" s="75"/>
    </row>
    <row r="185">
      <c r="G185" s="75"/>
      <c r="H185" s="75"/>
      <c r="I185" s="75"/>
      <c r="J185" s="75"/>
    </row>
    <row r="186">
      <c r="G186" s="75"/>
      <c r="H186" s="75"/>
      <c r="I186" s="75"/>
      <c r="J186" s="75"/>
    </row>
    <row r="187">
      <c r="G187" s="75"/>
      <c r="H187" s="75"/>
      <c r="I187" s="75"/>
      <c r="J187" s="75"/>
    </row>
    <row r="188">
      <c r="G188" s="75"/>
      <c r="H188" s="75"/>
      <c r="I188" s="75"/>
      <c r="J188" s="75"/>
    </row>
    <row r="189">
      <c r="G189" s="75"/>
      <c r="H189" s="75"/>
      <c r="I189" s="75"/>
      <c r="J189" s="75"/>
    </row>
    <row r="190">
      <c r="G190" s="75"/>
      <c r="H190" s="75"/>
      <c r="I190" s="75"/>
      <c r="J190" s="75"/>
    </row>
    <row r="191">
      <c r="G191" s="75"/>
      <c r="H191" s="75"/>
      <c r="I191" s="75"/>
      <c r="J191" s="75"/>
    </row>
    <row r="192">
      <c r="G192" s="75"/>
      <c r="H192" s="75"/>
      <c r="I192" s="75"/>
      <c r="J192" s="75"/>
    </row>
    <row r="193">
      <c r="G193" s="75"/>
      <c r="H193" s="75"/>
      <c r="I193" s="75"/>
      <c r="J193" s="75"/>
    </row>
    <row r="194">
      <c r="G194" s="75"/>
      <c r="H194" s="75"/>
      <c r="I194" s="75"/>
      <c r="J194" s="75"/>
    </row>
    <row r="195">
      <c r="G195" s="75"/>
      <c r="H195" s="75"/>
      <c r="I195" s="75"/>
      <c r="J195" s="75"/>
    </row>
    <row r="196">
      <c r="G196" s="75"/>
      <c r="H196" s="75"/>
      <c r="I196" s="75"/>
      <c r="J196" s="75"/>
    </row>
    <row r="197">
      <c r="G197" s="75"/>
      <c r="H197" s="75"/>
      <c r="I197" s="75"/>
      <c r="J197" s="75"/>
    </row>
    <row r="198">
      <c r="G198" s="75"/>
      <c r="H198" s="75"/>
      <c r="I198" s="75"/>
      <c r="J198" s="75"/>
    </row>
    <row r="199">
      <c r="G199" s="75"/>
      <c r="H199" s="75"/>
      <c r="I199" s="75"/>
      <c r="J199" s="75"/>
    </row>
    <row r="200">
      <c r="G200" s="75"/>
      <c r="H200" s="75"/>
      <c r="I200" s="75"/>
      <c r="J200" s="75"/>
    </row>
    <row r="201">
      <c r="G201" s="75"/>
      <c r="H201" s="75"/>
      <c r="I201" s="75"/>
      <c r="J201" s="75"/>
    </row>
    <row r="202">
      <c r="G202" s="75"/>
      <c r="H202" s="75"/>
      <c r="I202" s="75"/>
      <c r="J202" s="75"/>
    </row>
    <row r="203">
      <c r="G203" s="75"/>
      <c r="H203" s="75"/>
      <c r="I203" s="75"/>
      <c r="J203" s="75"/>
    </row>
    <row r="204">
      <c r="G204" s="75"/>
      <c r="H204" s="75"/>
      <c r="I204" s="75"/>
      <c r="J204" s="75"/>
    </row>
    <row r="205">
      <c r="G205" s="75"/>
      <c r="H205" s="75"/>
      <c r="I205" s="75"/>
      <c r="J205" s="75"/>
    </row>
    <row r="206">
      <c r="G206" s="75"/>
      <c r="H206" s="75"/>
      <c r="I206" s="75"/>
      <c r="J206" s="75"/>
    </row>
    <row r="207">
      <c r="G207" s="75"/>
      <c r="H207" s="75"/>
      <c r="I207" s="75"/>
      <c r="J207" s="75"/>
    </row>
    <row r="208">
      <c r="G208" s="75"/>
      <c r="H208" s="75"/>
      <c r="I208" s="75"/>
      <c r="J208" s="75"/>
    </row>
    <row r="209">
      <c r="G209" s="75"/>
      <c r="H209" s="75"/>
      <c r="I209" s="75"/>
      <c r="J209" s="75"/>
    </row>
    <row r="210">
      <c r="G210" s="75"/>
      <c r="H210" s="75"/>
      <c r="I210" s="75"/>
      <c r="J210" s="75"/>
    </row>
    <row r="211">
      <c r="G211" s="75"/>
      <c r="H211" s="75"/>
      <c r="I211" s="75"/>
      <c r="J211" s="75"/>
    </row>
    <row r="212">
      <c r="G212" s="75"/>
      <c r="H212" s="75"/>
      <c r="I212" s="75"/>
      <c r="J212" s="75"/>
    </row>
    <row r="213">
      <c r="G213" s="75"/>
      <c r="H213" s="75"/>
      <c r="I213" s="75"/>
      <c r="J213" s="75"/>
    </row>
    <row r="214">
      <c r="G214" s="75"/>
      <c r="H214" s="75"/>
      <c r="I214" s="75"/>
      <c r="J214" s="75"/>
    </row>
    <row r="215">
      <c r="G215" s="75"/>
      <c r="H215" s="75"/>
      <c r="I215" s="75"/>
      <c r="J215" s="75"/>
    </row>
    <row r="216">
      <c r="G216" s="75"/>
      <c r="H216" s="75"/>
      <c r="I216" s="75"/>
      <c r="J216" s="75"/>
    </row>
    <row r="217">
      <c r="G217" s="75"/>
      <c r="H217" s="75"/>
      <c r="I217" s="75"/>
      <c r="J217" s="75"/>
    </row>
    <row r="218">
      <c r="G218" s="75"/>
      <c r="H218" s="75"/>
      <c r="I218" s="75"/>
      <c r="J218" s="75"/>
    </row>
    <row r="219">
      <c r="G219" s="75"/>
      <c r="H219" s="75"/>
      <c r="I219" s="75"/>
      <c r="J219" s="75"/>
    </row>
    <row r="220">
      <c r="G220" s="75"/>
      <c r="H220" s="75"/>
      <c r="I220" s="75"/>
      <c r="J220" s="75"/>
    </row>
    <row r="221">
      <c r="G221" s="75"/>
      <c r="H221" s="75"/>
      <c r="I221" s="75"/>
      <c r="J221" s="75"/>
    </row>
    <row r="222">
      <c r="G222" s="75"/>
      <c r="H222" s="75"/>
      <c r="I222" s="75"/>
      <c r="J222" s="75"/>
    </row>
    <row r="223">
      <c r="G223" s="75"/>
      <c r="H223" s="75"/>
      <c r="I223" s="75"/>
      <c r="J223" s="75"/>
    </row>
    <row r="224">
      <c r="G224" s="75"/>
      <c r="H224" s="75"/>
      <c r="I224" s="75"/>
      <c r="J224" s="75"/>
    </row>
    <row r="225">
      <c r="G225" s="75"/>
      <c r="H225" s="75"/>
      <c r="I225" s="75"/>
      <c r="J225" s="75"/>
    </row>
    <row r="226">
      <c r="G226" s="75"/>
      <c r="H226" s="75"/>
      <c r="I226" s="75"/>
      <c r="J226" s="75"/>
    </row>
    <row r="227">
      <c r="G227" s="75"/>
      <c r="H227" s="75"/>
      <c r="I227" s="75"/>
      <c r="J227" s="75"/>
    </row>
    <row r="228">
      <c r="G228" s="75"/>
      <c r="H228" s="75"/>
      <c r="I228" s="75"/>
      <c r="J228" s="75"/>
    </row>
    <row r="229">
      <c r="G229" s="75"/>
      <c r="H229" s="75"/>
      <c r="I229" s="75"/>
      <c r="J229" s="75"/>
    </row>
    <row r="230">
      <c r="G230" s="75"/>
      <c r="H230" s="75"/>
      <c r="I230" s="75"/>
      <c r="J230" s="75"/>
    </row>
    <row r="231">
      <c r="G231" s="75"/>
      <c r="H231" s="75"/>
      <c r="I231" s="75"/>
      <c r="J231" s="75"/>
    </row>
    <row r="232">
      <c r="G232" s="75"/>
      <c r="H232" s="75"/>
      <c r="I232" s="75"/>
      <c r="J232" s="75"/>
    </row>
    <row r="233">
      <c r="G233" s="75"/>
      <c r="H233" s="75"/>
      <c r="I233" s="75"/>
      <c r="J233" s="75"/>
    </row>
    <row r="234">
      <c r="G234" s="75"/>
      <c r="H234" s="75"/>
      <c r="I234" s="75"/>
      <c r="J234" s="75"/>
    </row>
    <row r="235">
      <c r="G235" s="75"/>
      <c r="H235" s="75"/>
      <c r="I235" s="75"/>
      <c r="J235" s="75"/>
    </row>
    <row r="236">
      <c r="G236" s="75"/>
      <c r="H236" s="75"/>
      <c r="I236" s="75"/>
      <c r="J236" s="75"/>
    </row>
    <row r="237">
      <c r="G237" s="75"/>
      <c r="H237" s="75"/>
      <c r="I237" s="75"/>
      <c r="J237" s="75"/>
    </row>
    <row r="238">
      <c r="G238" s="75"/>
      <c r="H238" s="75"/>
      <c r="I238" s="75"/>
      <c r="J238" s="75"/>
    </row>
    <row r="239">
      <c r="G239" s="75"/>
      <c r="H239" s="75"/>
      <c r="I239" s="75"/>
      <c r="J239" s="75"/>
    </row>
    <row r="240">
      <c r="G240" s="75"/>
      <c r="H240" s="75"/>
      <c r="I240" s="75"/>
      <c r="J240" s="75"/>
    </row>
    <row r="241">
      <c r="G241" s="75"/>
      <c r="H241" s="75"/>
      <c r="I241" s="75"/>
      <c r="J241" s="75"/>
    </row>
    <row r="242">
      <c r="G242" s="75"/>
      <c r="H242" s="75"/>
      <c r="I242" s="75"/>
      <c r="J242" s="75"/>
    </row>
    <row r="243">
      <c r="G243" s="75"/>
      <c r="H243" s="75"/>
      <c r="I243" s="75"/>
      <c r="J243" s="75"/>
    </row>
    <row r="244">
      <c r="G244" s="75"/>
      <c r="H244" s="75"/>
      <c r="I244" s="75"/>
      <c r="J244" s="75"/>
    </row>
    <row r="245">
      <c r="G245" s="75"/>
      <c r="H245" s="75"/>
      <c r="I245" s="75"/>
      <c r="J245" s="75"/>
    </row>
    <row r="246">
      <c r="G246" s="75"/>
      <c r="H246" s="75"/>
      <c r="I246" s="75"/>
      <c r="J246" s="75"/>
    </row>
    <row r="247">
      <c r="G247" s="75"/>
      <c r="H247" s="75"/>
      <c r="I247" s="75"/>
      <c r="J247" s="75"/>
    </row>
    <row r="248">
      <c r="G248" s="75"/>
      <c r="H248" s="75"/>
      <c r="I248" s="75"/>
      <c r="J248" s="75"/>
    </row>
    <row r="249">
      <c r="G249" s="75"/>
      <c r="H249" s="75"/>
      <c r="I249" s="75"/>
      <c r="J249" s="75"/>
    </row>
    <row r="250">
      <c r="G250" s="75"/>
      <c r="H250" s="75"/>
      <c r="I250" s="75"/>
      <c r="J250" s="75"/>
    </row>
    <row r="251">
      <c r="G251" s="75"/>
      <c r="H251" s="75"/>
      <c r="I251" s="75"/>
      <c r="J251" s="75"/>
    </row>
    <row r="252">
      <c r="G252" s="75"/>
      <c r="H252" s="75"/>
      <c r="I252" s="75"/>
      <c r="J252" s="75"/>
    </row>
    <row r="253">
      <c r="G253" s="75"/>
      <c r="H253" s="75"/>
      <c r="I253" s="75"/>
      <c r="J253" s="75"/>
    </row>
    <row r="254">
      <c r="G254" s="75"/>
      <c r="H254" s="75"/>
      <c r="I254" s="75"/>
      <c r="J254" s="75"/>
    </row>
    <row r="255">
      <c r="G255" s="75"/>
      <c r="H255" s="75"/>
      <c r="I255" s="75"/>
      <c r="J255" s="75"/>
    </row>
    <row r="256">
      <c r="G256" s="75"/>
      <c r="H256" s="75"/>
      <c r="I256" s="75"/>
      <c r="J256" s="75"/>
    </row>
    <row r="257">
      <c r="G257" s="75"/>
      <c r="H257" s="75"/>
      <c r="I257" s="75"/>
      <c r="J257" s="75"/>
    </row>
    <row r="258">
      <c r="G258" s="75"/>
      <c r="H258" s="75"/>
      <c r="I258" s="75"/>
      <c r="J258" s="75"/>
    </row>
    <row r="259">
      <c r="G259" s="75"/>
      <c r="H259" s="75"/>
      <c r="I259" s="75"/>
      <c r="J259" s="75"/>
    </row>
    <row r="260">
      <c r="G260" s="75"/>
      <c r="H260" s="75"/>
      <c r="I260" s="75"/>
      <c r="J260" s="75"/>
    </row>
    <row r="261">
      <c r="G261" s="75"/>
      <c r="H261" s="75"/>
      <c r="I261" s="75"/>
      <c r="J261" s="75"/>
    </row>
    <row r="262">
      <c r="G262" s="75"/>
      <c r="H262" s="75"/>
      <c r="I262" s="75"/>
      <c r="J262" s="75"/>
    </row>
    <row r="263">
      <c r="G263" s="75"/>
      <c r="H263" s="75"/>
      <c r="I263" s="75"/>
      <c r="J263" s="75"/>
    </row>
    <row r="264">
      <c r="G264" s="75"/>
      <c r="H264" s="75"/>
      <c r="I264" s="75"/>
      <c r="J264" s="75"/>
    </row>
    <row r="265">
      <c r="G265" s="75"/>
      <c r="H265" s="75"/>
      <c r="I265" s="75"/>
      <c r="J265" s="75"/>
    </row>
    <row r="266">
      <c r="G266" s="75"/>
      <c r="H266" s="75"/>
      <c r="I266" s="75"/>
      <c r="J266" s="75"/>
    </row>
    <row r="267">
      <c r="G267" s="75"/>
      <c r="H267" s="75"/>
      <c r="I267" s="75"/>
      <c r="J267" s="75"/>
    </row>
    <row r="268">
      <c r="G268" s="75"/>
      <c r="H268" s="75"/>
      <c r="I268" s="75"/>
      <c r="J268" s="75"/>
    </row>
    <row r="269">
      <c r="G269" s="75"/>
      <c r="H269" s="75"/>
      <c r="I269" s="75"/>
      <c r="J269" s="75"/>
    </row>
    <row r="270">
      <c r="G270" s="75"/>
      <c r="H270" s="75"/>
      <c r="I270" s="75"/>
      <c r="J270" s="75"/>
    </row>
    <row r="271">
      <c r="G271" s="75"/>
      <c r="H271" s="75"/>
      <c r="I271" s="75"/>
      <c r="J271" s="75"/>
    </row>
    <row r="272">
      <c r="G272" s="75"/>
      <c r="H272" s="75"/>
      <c r="I272" s="75"/>
      <c r="J272" s="75"/>
    </row>
    <row r="273">
      <c r="G273" s="75"/>
      <c r="H273" s="75"/>
      <c r="I273" s="75"/>
      <c r="J273" s="75"/>
    </row>
    <row r="274">
      <c r="G274" s="75"/>
      <c r="H274" s="75"/>
      <c r="I274" s="75"/>
      <c r="J274" s="75"/>
    </row>
    <row r="275">
      <c r="G275" s="75"/>
      <c r="H275" s="75"/>
      <c r="I275" s="75"/>
      <c r="J275" s="75"/>
    </row>
    <row r="276">
      <c r="G276" s="75"/>
      <c r="H276" s="75"/>
      <c r="I276" s="75"/>
      <c r="J276" s="75"/>
    </row>
    <row r="277">
      <c r="G277" s="75"/>
      <c r="H277" s="75"/>
      <c r="I277" s="75"/>
      <c r="J277" s="75"/>
    </row>
    <row r="278">
      <c r="G278" s="75"/>
      <c r="H278" s="75"/>
      <c r="I278" s="75"/>
      <c r="J278" s="75"/>
    </row>
    <row r="279">
      <c r="G279" s="75"/>
      <c r="H279" s="75"/>
      <c r="I279" s="75"/>
      <c r="J279" s="75"/>
    </row>
    <row r="280">
      <c r="G280" s="75"/>
      <c r="H280" s="75"/>
      <c r="I280" s="75"/>
      <c r="J280" s="75"/>
    </row>
    <row r="281">
      <c r="G281" s="75"/>
      <c r="H281" s="75"/>
      <c r="I281" s="75"/>
      <c r="J281" s="75"/>
    </row>
    <row r="282">
      <c r="G282" s="75"/>
      <c r="H282" s="75"/>
      <c r="I282" s="75"/>
      <c r="J282" s="75"/>
    </row>
    <row r="283">
      <c r="G283" s="75"/>
      <c r="H283" s="75"/>
      <c r="I283" s="75"/>
      <c r="J283" s="75"/>
    </row>
    <row r="284">
      <c r="G284" s="75"/>
      <c r="H284" s="75"/>
      <c r="I284" s="75"/>
      <c r="J284" s="75"/>
    </row>
    <row r="285">
      <c r="G285" s="75"/>
      <c r="H285" s="75"/>
      <c r="I285" s="75"/>
      <c r="J285" s="75"/>
    </row>
    <row r="286">
      <c r="G286" s="75"/>
      <c r="H286" s="75"/>
      <c r="I286" s="75"/>
      <c r="J286" s="75"/>
    </row>
    <row r="287">
      <c r="G287" s="75"/>
      <c r="H287" s="75"/>
      <c r="I287" s="75"/>
      <c r="J287" s="75"/>
    </row>
    <row r="288">
      <c r="G288" s="75"/>
      <c r="H288" s="75"/>
      <c r="I288" s="75"/>
      <c r="J288" s="75"/>
    </row>
    <row r="289">
      <c r="G289" s="75"/>
      <c r="H289" s="75"/>
      <c r="I289" s="75"/>
      <c r="J289" s="75"/>
    </row>
    <row r="290">
      <c r="G290" s="75"/>
      <c r="H290" s="75"/>
      <c r="I290" s="75"/>
      <c r="J290" s="75"/>
    </row>
    <row r="291">
      <c r="G291" s="75"/>
      <c r="H291" s="75"/>
      <c r="I291" s="75"/>
      <c r="J291" s="75"/>
    </row>
    <row r="292">
      <c r="G292" s="75"/>
      <c r="H292" s="75"/>
      <c r="I292" s="75"/>
      <c r="J292" s="75"/>
    </row>
    <row r="293">
      <c r="G293" s="75"/>
      <c r="H293" s="75"/>
      <c r="I293" s="75"/>
      <c r="J293" s="75"/>
    </row>
    <row r="294">
      <c r="G294" s="75"/>
      <c r="H294" s="75"/>
      <c r="I294" s="75"/>
      <c r="J294" s="75"/>
    </row>
    <row r="295">
      <c r="G295" s="75"/>
      <c r="H295" s="75"/>
      <c r="I295" s="75"/>
      <c r="J295" s="75"/>
    </row>
    <row r="296">
      <c r="G296" s="75"/>
      <c r="H296" s="75"/>
      <c r="I296" s="75"/>
      <c r="J296" s="75"/>
    </row>
    <row r="297">
      <c r="G297" s="75"/>
      <c r="H297" s="75"/>
      <c r="I297" s="75"/>
      <c r="J297" s="75"/>
    </row>
    <row r="298">
      <c r="G298" s="75"/>
      <c r="H298" s="75"/>
      <c r="I298" s="75"/>
      <c r="J298" s="75"/>
    </row>
    <row r="299">
      <c r="G299" s="75"/>
      <c r="H299" s="75"/>
      <c r="I299" s="75"/>
      <c r="J299" s="75"/>
    </row>
    <row r="300">
      <c r="G300" s="75"/>
      <c r="H300" s="75"/>
      <c r="I300" s="75"/>
      <c r="J300" s="75"/>
    </row>
    <row r="301">
      <c r="G301" s="75"/>
      <c r="H301" s="75"/>
      <c r="I301" s="75"/>
      <c r="J301" s="75"/>
    </row>
    <row r="302">
      <c r="G302" s="75"/>
      <c r="H302" s="75"/>
      <c r="I302" s="75"/>
      <c r="J302" s="75"/>
    </row>
    <row r="303">
      <c r="G303" s="75"/>
      <c r="H303" s="75"/>
      <c r="I303" s="75"/>
      <c r="J303" s="75"/>
    </row>
    <row r="304">
      <c r="G304" s="75"/>
      <c r="H304" s="75"/>
      <c r="I304" s="75"/>
      <c r="J304" s="75"/>
    </row>
    <row r="305">
      <c r="G305" s="75"/>
      <c r="H305" s="75"/>
      <c r="I305" s="75"/>
      <c r="J305" s="75"/>
    </row>
    <row r="306">
      <c r="G306" s="75"/>
      <c r="H306" s="75"/>
      <c r="I306" s="75"/>
      <c r="J306" s="75"/>
    </row>
    <row r="307">
      <c r="G307" s="75"/>
      <c r="H307" s="75"/>
      <c r="I307" s="75"/>
      <c r="J307" s="75"/>
    </row>
    <row r="308">
      <c r="G308" s="75"/>
      <c r="H308" s="75"/>
      <c r="I308" s="75"/>
      <c r="J308" s="75"/>
    </row>
    <row r="309">
      <c r="G309" s="75"/>
      <c r="H309" s="75"/>
      <c r="I309" s="75"/>
      <c r="J309" s="75"/>
    </row>
    <row r="310">
      <c r="G310" s="75"/>
      <c r="H310" s="75"/>
      <c r="I310" s="75"/>
      <c r="J310" s="75"/>
    </row>
    <row r="311">
      <c r="G311" s="75"/>
      <c r="H311" s="75"/>
      <c r="I311" s="75"/>
      <c r="J311" s="75"/>
    </row>
    <row r="312">
      <c r="G312" s="75"/>
      <c r="H312" s="75"/>
      <c r="I312" s="75"/>
      <c r="J312" s="75"/>
    </row>
    <row r="313">
      <c r="G313" s="75"/>
      <c r="H313" s="75"/>
      <c r="I313" s="75"/>
      <c r="J313" s="75"/>
    </row>
    <row r="314">
      <c r="G314" s="75"/>
      <c r="H314" s="75"/>
      <c r="I314" s="75"/>
      <c r="J314" s="75"/>
    </row>
    <row r="315">
      <c r="G315" s="75"/>
      <c r="H315" s="75"/>
      <c r="I315" s="75"/>
      <c r="J315" s="75"/>
    </row>
    <row r="316">
      <c r="G316" s="75"/>
      <c r="H316" s="75"/>
      <c r="I316" s="75"/>
      <c r="J316" s="75"/>
    </row>
    <row r="317">
      <c r="G317" s="75"/>
      <c r="H317" s="75"/>
      <c r="I317" s="75"/>
      <c r="J317" s="75"/>
    </row>
    <row r="318">
      <c r="G318" s="75"/>
      <c r="H318" s="75"/>
      <c r="I318" s="75"/>
      <c r="J318" s="75"/>
    </row>
    <row r="319">
      <c r="G319" s="75"/>
      <c r="H319" s="75"/>
      <c r="I319" s="75"/>
      <c r="J319" s="75"/>
    </row>
    <row r="320">
      <c r="G320" s="75"/>
      <c r="H320" s="75"/>
      <c r="I320" s="75"/>
      <c r="J320" s="75"/>
    </row>
    <row r="321">
      <c r="G321" s="75"/>
      <c r="H321" s="75"/>
      <c r="I321" s="75"/>
      <c r="J321" s="75"/>
    </row>
    <row r="322">
      <c r="G322" s="75"/>
      <c r="H322" s="75"/>
      <c r="I322" s="75"/>
      <c r="J322" s="75"/>
    </row>
    <row r="323">
      <c r="G323" s="75"/>
      <c r="H323" s="75"/>
      <c r="I323" s="75"/>
      <c r="J323" s="75"/>
    </row>
    <row r="324">
      <c r="G324" s="75"/>
      <c r="H324" s="75"/>
      <c r="I324" s="75"/>
      <c r="J324" s="75"/>
    </row>
    <row r="325">
      <c r="G325" s="75"/>
      <c r="H325" s="75"/>
      <c r="I325" s="75"/>
      <c r="J325" s="75"/>
    </row>
    <row r="326">
      <c r="G326" s="75"/>
      <c r="H326" s="75"/>
      <c r="I326" s="75"/>
      <c r="J326" s="75"/>
    </row>
    <row r="327">
      <c r="G327" s="75"/>
      <c r="H327" s="75"/>
      <c r="I327" s="75"/>
      <c r="J327" s="75"/>
    </row>
    <row r="328">
      <c r="G328" s="75"/>
      <c r="H328" s="75"/>
      <c r="I328" s="75"/>
      <c r="J328" s="75"/>
    </row>
    <row r="329">
      <c r="G329" s="75"/>
      <c r="H329" s="75"/>
      <c r="I329" s="75"/>
      <c r="J329" s="75"/>
    </row>
    <row r="330">
      <c r="G330" s="75"/>
      <c r="H330" s="75"/>
      <c r="I330" s="75"/>
      <c r="J330" s="75"/>
    </row>
    <row r="331">
      <c r="G331" s="75"/>
      <c r="H331" s="75"/>
      <c r="I331" s="75"/>
      <c r="J331" s="75"/>
    </row>
    <row r="332">
      <c r="G332" s="75"/>
      <c r="H332" s="75"/>
      <c r="I332" s="75"/>
      <c r="J332" s="75"/>
    </row>
    <row r="333">
      <c r="G333" s="75"/>
      <c r="H333" s="75"/>
      <c r="I333" s="75"/>
      <c r="J333" s="75"/>
    </row>
    <row r="334">
      <c r="G334" s="75"/>
      <c r="H334" s="75"/>
      <c r="I334" s="75"/>
      <c r="J334" s="75"/>
    </row>
    <row r="335">
      <c r="G335" s="75"/>
      <c r="H335" s="75"/>
      <c r="I335" s="75"/>
      <c r="J335" s="75"/>
    </row>
    <row r="336">
      <c r="G336" s="75"/>
      <c r="H336" s="75"/>
      <c r="I336" s="75"/>
      <c r="J336" s="75"/>
    </row>
    <row r="337">
      <c r="G337" s="75"/>
      <c r="H337" s="75"/>
      <c r="I337" s="75"/>
      <c r="J337" s="75"/>
    </row>
    <row r="338">
      <c r="G338" s="75"/>
      <c r="H338" s="75"/>
      <c r="I338" s="75"/>
      <c r="J338" s="75"/>
    </row>
    <row r="339">
      <c r="G339" s="75"/>
      <c r="H339" s="75"/>
      <c r="I339" s="75"/>
      <c r="J339" s="75"/>
    </row>
    <row r="340">
      <c r="G340" s="75"/>
      <c r="H340" s="75"/>
      <c r="I340" s="75"/>
      <c r="J340" s="75"/>
    </row>
    <row r="341">
      <c r="G341" s="75"/>
      <c r="H341" s="75"/>
      <c r="I341" s="75"/>
      <c r="J341" s="75"/>
    </row>
    <row r="342">
      <c r="G342" s="75"/>
      <c r="H342" s="75"/>
      <c r="I342" s="75"/>
      <c r="J342" s="75"/>
    </row>
    <row r="343">
      <c r="G343" s="75"/>
      <c r="H343" s="75"/>
      <c r="I343" s="75"/>
      <c r="J343" s="75"/>
    </row>
    <row r="344">
      <c r="G344" s="75"/>
      <c r="H344" s="75"/>
      <c r="I344" s="75"/>
      <c r="J344" s="75"/>
    </row>
    <row r="345">
      <c r="G345" s="75"/>
      <c r="H345" s="75"/>
      <c r="I345" s="75"/>
      <c r="J345" s="75"/>
    </row>
    <row r="346">
      <c r="G346" s="75"/>
      <c r="H346" s="75"/>
      <c r="I346" s="75"/>
      <c r="J346" s="75"/>
    </row>
    <row r="347">
      <c r="G347" s="75"/>
      <c r="H347" s="75"/>
      <c r="I347" s="75"/>
      <c r="J347" s="75"/>
    </row>
    <row r="348">
      <c r="G348" s="75"/>
      <c r="H348" s="75"/>
      <c r="I348" s="75"/>
      <c r="J348" s="75"/>
    </row>
    <row r="349">
      <c r="G349" s="75"/>
      <c r="H349" s="75"/>
      <c r="I349" s="75"/>
      <c r="J349" s="75"/>
    </row>
    <row r="350">
      <c r="G350" s="75"/>
      <c r="H350" s="75"/>
      <c r="I350" s="75"/>
      <c r="J350" s="75"/>
    </row>
    <row r="351">
      <c r="G351" s="75"/>
      <c r="H351" s="75"/>
      <c r="I351" s="75"/>
      <c r="J351" s="75"/>
    </row>
    <row r="352">
      <c r="G352" s="75"/>
      <c r="H352" s="75"/>
      <c r="I352" s="75"/>
      <c r="J352" s="75"/>
    </row>
    <row r="353">
      <c r="G353" s="75"/>
      <c r="H353" s="75"/>
      <c r="I353" s="75"/>
      <c r="J353" s="75"/>
    </row>
    <row r="354">
      <c r="G354" s="75"/>
      <c r="H354" s="75"/>
      <c r="I354" s="75"/>
      <c r="J354" s="75"/>
    </row>
    <row r="355">
      <c r="G355" s="75"/>
      <c r="H355" s="75"/>
      <c r="I355" s="75"/>
      <c r="J355" s="75"/>
    </row>
    <row r="356">
      <c r="G356" s="75"/>
      <c r="H356" s="75"/>
      <c r="I356" s="75"/>
      <c r="J356" s="75"/>
    </row>
    <row r="357">
      <c r="G357" s="75"/>
      <c r="H357" s="75"/>
      <c r="I357" s="75"/>
      <c r="J357" s="75"/>
    </row>
    <row r="358">
      <c r="G358" s="75"/>
      <c r="H358" s="75"/>
      <c r="I358" s="75"/>
      <c r="J358" s="75"/>
    </row>
    <row r="359">
      <c r="G359" s="75"/>
      <c r="H359" s="75"/>
      <c r="I359" s="75"/>
      <c r="J359" s="75"/>
    </row>
    <row r="360">
      <c r="G360" s="75"/>
      <c r="H360" s="75"/>
      <c r="I360" s="75"/>
      <c r="J360" s="75"/>
    </row>
    <row r="361">
      <c r="G361" s="75"/>
      <c r="H361" s="75"/>
      <c r="I361" s="75"/>
      <c r="J361" s="75"/>
    </row>
    <row r="362">
      <c r="G362" s="75"/>
      <c r="H362" s="75"/>
      <c r="I362" s="75"/>
      <c r="J362" s="75"/>
    </row>
    <row r="363">
      <c r="G363" s="75"/>
      <c r="H363" s="75"/>
      <c r="I363" s="75"/>
      <c r="J363" s="75"/>
    </row>
    <row r="364">
      <c r="G364" s="75"/>
      <c r="H364" s="75"/>
      <c r="I364" s="75"/>
      <c r="J364" s="75"/>
    </row>
    <row r="365">
      <c r="G365" s="75"/>
      <c r="H365" s="75"/>
      <c r="I365" s="75"/>
      <c r="J365" s="75"/>
    </row>
    <row r="366">
      <c r="G366" s="75"/>
      <c r="H366" s="75"/>
      <c r="I366" s="75"/>
      <c r="J366" s="75"/>
    </row>
    <row r="367">
      <c r="G367" s="75"/>
      <c r="H367" s="75"/>
      <c r="I367" s="75"/>
      <c r="J367" s="75"/>
    </row>
    <row r="368">
      <c r="G368" s="75"/>
      <c r="H368" s="75"/>
      <c r="I368" s="75"/>
      <c r="J368" s="75"/>
    </row>
    <row r="369">
      <c r="G369" s="75"/>
      <c r="H369" s="75"/>
      <c r="I369" s="75"/>
      <c r="J369" s="75"/>
    </row>
    <row r="370">
      <c r="G370" s="75"/>
      <c r="H370" s="75"/>
      <c r="I370" s="75"/>
      <c r="J370" s="75"/>
    </row>
    <row r="371">
      <c r="G371" s="75"/>
      <c r="H371" s="75"/>
      <c r="I371" s="75"/>
      <c r="J371" s="75"/>
    </row>
    <row r="372">
      <c r="G372" s="75"/>
      <c r="H372" s="75"/>
      <c r="I372" s="75"/>
      <c r="J372" s="75"/>
    </row>
    <row r="373">
      <c r="G373" s="75"/>
      <c r="H373" s="75"/>
      <c r="I373" s="75"/>
      <c r="J373" s="75"/>
    </row>
    <row r="374">
      <c r="G374" s="75"/>
      <c r="H374" s="75"/>
      <c r="I374" s="75"/>
      <c r="J374" s="75"/>
    </row>
    <row r="375">
      <c r="G375" s="75"/>
      <c r="H375" s="75"/>
      <c r="I375" s="75"/>
      <c r="J375" s="75"/>
    </row>
    <row r="376">
      <c r="G376" s="75"/>
      <c r="H376" s="75"/>
      <c r="I376" s="75"/>
      <c r="J376" s="75"/>
    </row>
    <row r="377">
      <c r="G377" s="75"/>
      <c r="H377" s="75"/>
      <c r="I377" s="75"/>
      <c r="J377" s="75"/>
    </row>
    <row r="378">
      <c r="G378" s="75"/>
      <c r="H378" s="75"/>
      <c r="I378" s="75"/>
      <c r="J378" s="75"/>
    </row>
    <row r="379">
      <c r="G379" s="75"/>
      <c r="H379" s="75"/>
      <c r="I379" s="75"/>
      <c r="J379" s="75"/>
    </row>
    <row r="380">
      <c r="G380" s="75"/>
      <c r="H380" s="75"/>
      <c r="I380" s="75"/>
      <c r="J380" s="75"/>
    </row>
    <row r="381">
      <c r="G381" s="75"/>
      <c r="H381" s="75"/>
      <c r="I381" s="75"/>
      <c r="J381" s="75"/>
    </row>
    <row r="382">
      <c r="G382" s="75"/>
      <c r="H382" s="75"/>
      <c r="I382" s="75"/>
      <c r="J382" s="75"/>
    </row>
    <row r="383">
      <c r="G383" s="75"/>
      <c r="H383" s="75"/>
      <c r="I383" s="75"/>
      <c r="J383" s="75"/>
    </row>
    <row r="384">
      <c r="G384" s="75"/>
      <c r="H384" s="75"/>
      <c r="I384" s="75"/>
      <c r="J384" s="75"/>
    </row>
    <row r="385">
      <c r="G385" s="75"/>
      <c r="H385" s="75"/>
      <c r="I385" s="75"/>
      <c r="J385" s="75"/>
    </row>
    <row r="386">
      <c r="G386" s="75"/>
      <c r="H386" s="75"/>
      <c r="I386" s="75"/>
      <c r="J386" s="75"/>
    </row>
    <row r="387">
      <c r="G387" s="75"/>
      <c r="H387" s="75"/>
      <c r="I387" s="75"/>
      <c r="J387" s="75"/>
    </row>
    <row r="388">
      <c r="G388" s="75"/>
      <c r="H388" s="75"/>
      <c r="I388" s="75"/>
      <c r="J388" s="75"/>
    </row>
    <row r="389">
      <c r="G389" s="75"/>
      <c r="H389" s="75"/>
      <c r="I389" s="75"/>
      <c r="J389" s="75"/>
    </row>
    <row r="390">
      <c r="G390" s="75"/>
      <c r="H390" s="75"/>
      <c r="I390" s="75"/>
      <c r="J390" s="75"/>
    </row>
    <row r="391">
      <c r="G391" s="75"/>
      <c r="H391" s="75"/>
      <c r="I391" s="75"/>
      <c r="J391" s="75"/>
    </row>
    <row r="392">
      <c r="G392" s="75"/>
      <c r="H392" s="75"/>
      <c r="I392" s="75"/>
      <c r="J392" s="75"/>
    </row>
    <row r="393">
      <c r="G393" s="75"/>
      <c r="H393" s="75"/>
      <c r="I393" s="75"/>
      <c r="J393" s="75"/>
    </row>
    <row r="394">
      <c r="G394" s="75"/>
      <c r="H394" s="75"/>
      <c r="I394" s="75"/>
      <c r="J394" s="75"/>
    </row>
    <row r="395">
      <c r="G395" s="75"/>
      <c r="H395" s="75"/>
      <c r="I395" s="75"/>
      <c r="J395" s="75"/>
    </row>
    <row r="396">
      <c r="G396" s="75"/>
      <c r="H396" s="75"/>
      <c r="I396" s="75"/>
      <c r="J396" s="75"/>
    </row>
    <row r="397">
      <c r="G397" s="75"/>
      <c r="H397" s="75"/>
      <c r="I397" s="75"/>
      <c r="J397" s="75"/>
    </row>
    <row r="398">
      <c r="G398" s="75"/>
      <c r="H398" s="75"/>
      <c r="I398" s="75"/>
      <c r="J398" s="75"/>
    </row>
    <row r="399">
      <c r="G399" s="75"/>
      <c r="H399" s="75"/>
      <c r="I399" s="75"/>
      <c r="J399" s="75"/>
    </row>
    <row r="400">
      <c r="G400" s="75"/>
      <c r="H400" s="75"/>
      <c r="I400" s="75"/>
      <c r="J400" s="75"/>
    </row>
    <row r="401">
      <c r="G401" s="75"/>
      <c r="H401" s="75"/>
      <c r="I401" s="75"/>
      <c r="J401" s="75"/>
    </row>
    <row r="402">
      <c r="G402" s="75"/>
      <c r="H402" s="75"/>
      <c r="I402" s="75"/>
      <c r="J402" s="75"/>
    </row>
    <row r="403">
      <c r="G403" s="75"/>
      <c r="H403" s="75"/>
      <c r="I403" s="75"/>
      <c r="J403" s="75"/>
    </row>
    <row r="404">
      <c r="G404" s="75"/>
      <c r="H404" s="75"/>
      <c r="I404" s="75"/>
      <c r="J404" s="75"/>
    </row>
    <row r="405">
      <c r="G405" s="75"/>
      <c r="H405" s="75"/>
      <c r="I405" s="75"/>
      <c r="J405" s="75"/>
    </row>
    <row r="406">
      <c r="G406" s="75"/>
      <c r="H406" s="75"/>
      <c r="I406" s="75"/>
      <c r="J406" s="75"/>
    </row>
    <row r="407">
      <c r="G407" s="75"/>
      <c r="H407" s="75"/>
      <c r="I407" s="75"/>
      <c r="J407" s="75"/>
    </row>
    <row r="408">
      <c r="G408" s="75"/>
      <c r="H408" s="75"/>
      <c r="I408" s="75"/>
      <c r="J408" s="75"/>
    </row>
    <row r="409">
      <c r="G409" s="75"/>
      <c r="H409" s="75"/>
      <c r="I409" s="75"/>
      <c r="J409" s="75"/>
    </row>
    <row r="410">
      <c r="G410" s="75"/>
      <c r="H410" s="75"/>
      <c r="I410" s="75"/>
      <c r="J410" s="75"/>
    </row>
    <row r="411">
      <c r="G411" s="75"/>
      <c r="H411" s="75"/>
      <c r="I411" s="75"/>
      <c r="J411" s="75"/>
    </row>
    <row r="412">
      <c r="G412" s="75"/>
      <c r="H412" s="75"/>
      <c r="I412" s="75"/>
      <c r="J412" s="75"/>
    </row>
    <row r="413">
      <c r="G413" s="75"/>
      <c r="H413" s="75"/>
      <c r="I413" s="75"/>
      <c r="J413" s="75"/>
    </row>
    <row r="414">
      <c r="G414" s="75"/>
      <c r="H414" s="75"/>
      <c r="I414" s="75"/>
      <c r="J414" s="75"/>
    </row>
    <row r="415">
      <c r="G415" s="75"/>
      <c r="H415" s="75"/>
      <c r="I415" s="75"/>
      <c r="J415" s="75"/>
    </row>
    <row r="416">
      <c r="G416" s="75"/>
      <c r="H416" s="75"/>
      <c r="I416" s="75"/>
      <c r="J416" s="75"/>
    </row>
    <row r="417">
      <c r="G417" s="75"/>
      <c r="H417" s="75"/>
      <c r="I417" s="75"/>
      <c r="J417" s="75"/>
    </row>
    <row r="418">
      <c r="G418" s="75"/>
      <c r="H418" s="75"/>
      <c r="I418" s="75"/>
      <c r="J418" s="75"/>
    </row>
    <row r="419">
      <c r="G419" s="75"/>
      <c r="H419" s="75"/>
      <c r="I419" s="75"/>
      <c r="J419" s="75"/>
    </row>
    <row r="420">
      <c r="G420" s="75"/>
      <c r="H420" s="75"/>
      <c r="I420" s="75"/>
      <c r="J420" s="75"/>
    </row>
    <row r="421">
      <c r="G421" s="75"/>
      <c r="H421" s="75"/>
      <c r="I421" s="75"/>
      <c r="J421" s="75"/>
    </row>
    <row r="422">
      <c r="G422" s="75"/>
      <c r="H422" s="75"/>
      <c r="I422" s="75"/>
      <c r="J422" s="75"/>
    </row>
    <row r="423">
      <c r="G423" s="75"/>
      <c r="H423" s="75"/>
      <c r="I423" s="75"/>
      <c r="J423" s="75"/>
    </row>
    <row r="424">
      <c r="G424" s="75"/>
      <c r="H424" s="75"/>
      <c r="I424" s="75"/>
      <c r="J424" s="75"/>
    </row>
    <row r="425">
      <c r="G425" s="75"/>
      <c r="H425" s="75"/>
      <c r="I425" s="75"/>
      <c r="J425" s="75"/>
    </row>
    <row r="426">
      <c r="G426" s="75"/>
      <c r="H426" s="75"/>
      <c r="I426" s="75"/>
      <c r="J426" s="75"/>
    </row>
    <row r="427">
      <c r="G427" s="75"/>
      <c r="H427" s="75"/>
      <c r="I427" s="75"/>
      <c r="J427" s="75"/>
    </row>
    <row r="428">
      <c r="G428" s="75"/>
      <c r="H428" s="75"/>
      <c r="I428" s="75"/>
      <c r="J428" s="75"/>
    </row>
    <row r="429">
      <c r="G429" s="75"/>
      <c r="H429" s="75"/>
      <c r="I429" s="75"/>
      <c r="J429" s="75"/>
    </row>
    <row r="430">
      <c r="G430" s="75"/>
      <c r="H430" s="75"/>
      <c r="I430" s="75"/>
      <c r="J430" s="75"/>
    </row>
    <row r="431">
      <c r="G431" s="75"/>
      <c r="H431" s="75"/>
      <c r="I431" s="75"/>
      <c r="J431" s="75"/>
    </row>
    <row r="432">
      <c r="G432" s="75"/>
      <c r="H432" s="75"/>
      <c r="I432" s="75"/>
      <c r="J432" s="75"/>
    </row>
    <row r="433">
      <c r="G433" s="75"/>
      <c r="H433" s="75"/>
      <c r="I433" s="75"/>
      <c r="J433" s="75"/>
    </row>
    <row r="434">
      <c r="G434" s="75"/>
      <c r="H434" s="75"/>
      <c r="I434" s="75"/>
      <c r="J434" s="75"/>
    </row>
    <row r="435">
      <c r="G435" s="75"/>
      <c r="H435" s="75"/>
      <c r="I435" s="75"/>
      <c r="J435" s="75"/>
    </row>
    <row r="436">
      <c r="G436" s="75"/>
      <c r="H436" s="75"/>
      <c r="I436" s="75"/>
      <c r="J436" s="75"/>
    </row>
    <row r="437">
      <c r="G437" s="75"/>
      <c r="H437" s="75"/>
      <c r="I437" s="75"/>
      <c r="J437" s="75"/>
    </row>
    <row r="438">
      <c r="G438" s="75"/>
      <c r="H438" s="75"/>
      <c r="I438" s="75"/>
      <c r="J438" s="75"/>
    </row>
    <row r="439">
      <c r="G439" s="75"/>
      <c r="H439" s="75"/>
      <c r="I439" s="75"/>
      <c r="J439" s="75"/>
    </row>
    <row r="440">
      <c r="G440" s="75"/>
      <c r="H440" s="75"/>
      <c r="I440" s="75"/>
      <c r="J440" s="75"/>
    </row>
    <row r="441">
      <c r="G441" s="75"/>
      <c r="H441" s="75"/>
      <c r="I441" s="75"/>
      <c r="J441" s="75"/>
    </row>
    <row r="442">
      <c r="G442" s="75"/>
      <c r="H442" s="75"/>
      <c r="I442" s="75"/>
      <c r="J442" s="75"/>
    </row>
    <row r="443">
      <c r="G443" s="75"/>
      <c r="H443" s="75"/>
      <c r="I443" s="75"/>
      <c r="J443" s="75"/>
    </row>
    <row r="444">
      <c r="G444" s="75"/>
      <c r="H444" s="75"/>
      <c r="I444" s="75"/>
      <c r="J444" s="75"/>
    </row>
    <row r="445">
      <c r="G445" s="75"/>
      <c r="H445" s="75"/>
      <c r="I445" s="75"/>
      <c r="J445" s="75"/>
    </row>
    <row r="446">
      <c r="G446" s="75"/>
      <c r="H446" s="75"/>
      <c r="I446" s="75"/>
      <c r="J446" s="75"/>
    </row>
    <row r="447">
      <c r="G447" s="75"/>
      <c r="H447" s="75"/>
      <c r="I447" s="75"/>
      <c r="J447" s="75"/>
    </row>
    <row r="448">
      <c r="G448" s="75"/>
      <c r="H448" s="75"/>
      <c r="I448" s="75"/>
      <c r="J448" s="75"/>
    </row>
    <row r="449">
      <c r="G449" s="75"/>
      <c r="H449" s="75"/>
      <c r="I449" s="75"/>
      <c r="J449" s="75"/>
    </row>
    <row r="450">
      <c r="G450" s="75"/>
      <c r="H450" s="75"/>
      <c r="I450" s="75"/>
      <c r="J450" s="75"/>
    </row>
    <row r="451">
      <c r="G451" s="75"/>
      <c r="H451" s="75"/>
      <c r="I451" s="75"/>
      <c r="J451" s="75"/>
    </row>
    <row r="452">
      <c r="G452" s="75"/>
      <c r="H452" s="75"/>
      <c r="I452" s="75"/>
      <c r="J452" s="75"/>
    </row>
    <row r="453">
      <c r="G453" s="75"/>
      <c r="H453" s="75"/>
      <c r="I453" s="75"/>
      <c r="J453" s="75"/>
    </row>
    <row r="454">
      <c r="G454" s="75"/>
      <c r="H454" s="75"/>
      <c r="I454" s="75"/>
      <c r="J454" s="75"/>
    </row>
    <row r="455">
      <c r="G455" s="75"/>
      <c r="H455" s="75"/>
      <c r="I455" s="75"/>
      <c r="J455" s="75"/>
    </row>
    <row r="456">
      <c r="G456" s="75"/>
      <c r="H456" s="75"/>
      <c r="I456" s="75"/>
      <c r="J456" s="75"/>
    </row>
    <row r="457">
      <c r="G457" s="75"/>
      <c r="H457" s="75"/>
      <c r="I457" s="75"/>
      <c r="J457" s="75"/>
    </row>
    <row r="458">
      <c r="G458" s="75"/>
      <c r="H458" s="75"/>
      <c r="I458" s="75"/>
      <c r="J458" s="75"/>
    </row>
    <row r="459">
      <c r="G459" s="75"/>
      <c r="H459" s="75"/>
      <c r="I459" s="75"/>
      <c r="J459" s="75"/>
    </row>
    <row r="460">
      <c r="G460" s="75"/>
      <c r="H460" s="75"/>
      <c r="I460" s="75"/>
      <c r="J460" s="75"/>
    </row>
    <row r="461">
      <c r="G461" s="75"/>
      <c r="H461" s="75"/>
      <c r="I461" s="75"/>
      <c r="J461" s="75"/>
    </row>
    <row r="462">
      <c r="G462" s="75"/>
      <c r="H462" s="75"/>
      <c r="I462" s="75"/>
      <c r="J462" s="75"/>
    </row>
    <row r="463">
      <c r="G463" s="75"/>
      <c r="H463" s="75"/>
      <c r="I463" s="75"/>
      <c r="J463" s="75"/>
    </row>
    <row r="464">
      <c r="G464" s="75"/>
      <c r="H464" s="75"/>
      <c r="I464" s="75"/>
      <c r="J464" s="75"/>
    </row>
    <row r="465">
      <c r="G465" s="75"/>
      <c r="H465" s="75"/>
      <c r="I465" s="75"/>
      <c r="J465" s="75"/>
    </row>
    <row r="466">
      <c r="G466" s="75"/>
      <c r="H466" s="75"/>
      <c r="I466" s="75"/>
      <c r="J466" s="75"/>
    </row>
    <row r="467">
      <c r="G467" s="75"/>
      <c r="H467" s="75"/>
      <c r="I467" s="75"/>
      <c r="J467" s="75"/>
    </row>
    <row r="468">
      <c r="G468" s="75"/>
      <c r="H468" s="75"/>
      <c r="I468" s="75"/>
      <c r="J468" s="75"/>
    </row>
    <row r="469">
      <c r="G469" s="75"/>
      <c r="H469" s="75"/>
      <c r="I469" s="75"/>
      <c r="J469" s="75"/>
    </row>
    <row r="470">
      <c r="G470" s="75"/>
      <c r="H470" s="75"/>
      <c r="I470" s="75"/>
      <c r="J470" s="75"/>
    </row>
    <row r="471">
      <c r="G471" s="75"/>
      <c r="H471" s="75"/>
      <c r="I471" s="75"/>
      <c r="J471" s="75"/>
    </row>
    <row r="472">
      <c r="G472" s="75"/>
      <c r="H472" s="75"/>
      <c r="I472" s="75"/>
      <c r="J472" s="75"/>
    </row>
    <row r="473">
      <c r="G473" s="75"/>
      <c r="H473" s="75"/>
      <c r="I473" s="75"/>
      <c r="J473" s="75"/>
    </row>
    <row r="474">
      <c r="G474" s="75"/>
      <c r="H474" s="75"/>
      <c r="I474" s="75"/>
      <c r="J474" s="75"/>
    </row>
    <row r="475">
      <c r="G475" s="75"/>
      <c r="H475" s="75"/>
      <c r="I475" s="75"/>
      <c r="J475" s="75"/>
    </row>
    <row r="476">
      <c r="G476" s="75"/>
      <c r="H476" s="75"/>
      <c r="I476" s="75"/>
      <c r="J476" s="75"/>
    </row>
    <row r="477">
      <c r="G477" s="75"/>
      <c r="H477" s="75"/>
      <c r="I477" s="75"/>
      <c r="J477" s="75"/>
    </row>
    <row r="478">
      <c r="G478" s="75"/>
      <c r="H478" s="75"/>
      <c r="I478" s="75"/>
      <c r="J478" s="75"/>
    </row>
    <row r="479">
      <c r="G479" s="75"/>
      <c r="H479" s="75"/>
      <c r="I479" s="75"/>
      <c r="J479" s="75"/>
    </row>
    <row r="480">
      <c r="G480" s="75"/>
      <c r="H480" s="75"/>
      <c r="I480" s="75"/>
      <c r="J480" s="75"/>
    </row>
    <row r="481">
      <c r="G481" s="75"/>
      <c r="H481" s="75"/>
      <c r="I481" s="75"/>
      <c r="J481" s="75"/>
    </row>
    <row r="482">
      <c r="G482" s="75"/>
      <c r="H482" s="75"/>
      <c r="I482" s="75"/>
      <c r="J482" s="75"/>
    </row>
    <row r="483">
      <c r="G483" s="75"/>
      <c r="H483" s="75"/>
      <c r="I483" s="75"/>
      <c r="J483" s="75"/>
    </row>
    <row r="484">
      <c r="G484" s="75"/>
      <c r="H484" s="75"/>
      <c r="I484" s="75"/>
      <c r="J484" s="75"/>
    </row>
    <row r="485">
      <c r="G485" s="75"/>
      <c r="H485" s="75"/>
      <c r="I485" s="75"/>
      <c r="J485" s="75"/>
    </row>
    <row r="486">
      <c r="G486" s="75"/>
      <c r="H486" s="75"/>
      <c r="I486" s="75"/>
      <c r="J486" s="75"/>
    </row>
    <row r="487">
      <c r="G487" s="75"/>
      <c r="H487" s="75"/>
      <c r="I487" s="75"/>
      <c r="J487" s="75"/>
    </row>
    <row r="488">
      <c r="G488" s="75"/>
      <c r="H488" s="75"/>
      <c r="I488" s="75"/>
      <c r="J488" s="75"/>
    </row>
    <row r="489">
      <c r="G489" s="75"/>
      <c r="H489" s="75"/>
      <c r="I489" s="75"/>
      <c r="J489" s="75"/>
    </row>
    <row r="490">
      <c r="G490" s="75"/>
      <c r="H490" s="75"/>
      <c r="I490" s="75"/>
      <c r="J490" s="75"/>
    </row>
    <row r="491">
      <c r="G491" s="75"/>
      <c r="H491" s="75"/>
      <c r="I491" s="75"/>
      <c r="J491" s="75"/>
    </row>
    <row r="492">
      <c r="G492" s="75"/>
      <c r="H492" s="75"/>
      <c r="I492" s="75"/>
      <c r="J492" s="75"/>
    </row>
    <row r="493">
      <c r="G493" s="75"/>
      <c r="H493" s="75"/>
      <c r="I493" s="75"/>
      <c r="J493" s="75"/>
    </row>
    <row r="494">
      <c r="G494" s="75"/>
      <c r="H494" s="75"/>
      <c r="I494" s="75"/>
      <c r="J494" s="75"/>
    </row>
    <row r="495">
      <c r="G495" s="75"/>
      <c r="H495" s="75"/>
      <c r="I495" s="75"/>
      <c r="J495" s="75"/>
    </row>
    <row r="496">
      <c r="G496" s="75"/>
      <c r="H496" s="75"/>
      <c r="I496" s="75"/>
      <c r="J496" s="75"/>
    </row>
    <row r="497">
      <c r="G497" s="75"/>
      <c r="H497" s="75"/>
      <c r="I497" s="75"/>
      <c r="J497" s="75"/>
    </row>
    <row r="498">
      <c r="G498" s="75"/>
      <c r="H498" s="75"/>
      <c r="I498" s="75"/>
      <c r="J498" s="75"/>
    </row>
    <row r="499">
      <c r="G499" s="75"/>
      <c r="H499" s="75"/>
      <c r="I499" s="75"/>
      <c r="J499" s="75"/>
    </row>
    <row r="500">
      <c r="G500" s="75"/>
      <c r="H500" s="75"/>
      <c r="I500" s="75"/>
      <c r="J500" s="75"/>
    </row>
    <row r="501">
      <c r="G501" s="75"/>
      <c r="H501" s="75"/>
      <c r="I501" s="75"/>
      <c r="J501" s="75"/>
    </row>
    <row r="502">
      <c r="G502" s="75"/>
      <c r="H502" s="75"/>
      <c r="I502" s="75"/>
      <c r="J502" s="75"/>
    </row>
    <row r="503">
      <c r="G503" s="75"/>
      <c r="H503" s="75"/>
      <c r="I503" s="75"/>
      <c r="J503" s="75"/>
    </row>
    <row r="504">
      <c r="G504" s="75"/>
      <c r="H504" s="75"/>
      <c r="I504" s="75"/>
      <c r="J504" s="75"/>
    </row>
    <row r="505">
      <c r="G505" s="75"/>
      <c r="H505" s="75"/>
      <c r="I505" s="75"/>
      <c r="J505" s="75"/>
    </row>
    <row r="506">
      <c r="G506" s="75"/>
      <c r="H506" s="75"/>
      <c r="I506" s="75"/>
      <c r="J506" s="75"/>
    </row>
    <row r="507">
      <c r="G507" s="75"/>
      <c r="H507" s="75"/>
      <c r="I507" s="75"/>
      <c r="J507" s="75"/>
    </row>
    <row r="508">
      <c r="G508" s="75"/>
      <c r="H508" s="75"/>
      <c r="I508" s="75"/>
      <c r="J508" s="75"/>
    </row>
    <row r="509">
      <c r="G509" s="75"/>
      <c r="H509" s="75"/>
      <c r="I509" s="75"/>
      <c r="J509" s="75"/>
    </row>
    <row r="510">
      <c r="G510" s="75"/>
      <c r="H510" s="75"/>
      <c r="I510" s="75"/>
      <c r="J510" s="75"/>
    </row>
    <row r="511">
      <c r="G511" s="75"/>
      <c r="H511" s="75"/>
      <c r="I511" s="75"/>
      <c r="J511" s="75"/>
    </row>
    <row r="512">
      <c r="G512" s="75"/>
      <c r="H512" s="75"/>
      <c r="I512" s="75"/>
      <c r="J512" s="75"/>
    </row>
    <row r="513">
      <c r="G513" s="75"/>
      <c r="H513" s="75"/>
      <c r="I513" s="75"/>
      <c r="J513" s="75"/>
    </row>
    <row r="514">
      <c r="G514" s="75"/>
      <c r="H514" s="75"/>
      <c r="I514" s="75"/>
      <c r="J514" s="75"/>
    </row>
    <row r="515">
      <c r="G515" s="75"/>
      <c r="H515" s="75"/>
      <c r="I515" s="75"/>
      <c r="J515" s="75"/>
    </row>
    <row r="516">
      <c r="G516" s="75"/>
      <c r="H516" s="75"/>
      <c r="I516" s="75"/>
      <c r="J516" s="75"/>
    </row>
    <row r="517">
      <c r="G517" s="75"/>
      <c r="H517" s="75"/>
      <c r="I517" s="75"/>
      <c r="J517" s="75"/>
    </row>
    <row r="518">
      <c r="G518" s="75"/>
      <c r="H518" s="75"/>
      <c r="I518" s="75"/>
      <c r="J518" s="75"/>
    </row>
    <row r="519">
      <c r="G519" s="75"/>
      <c r="H519" s="75"/>
      <c r="I519" s="75"/>
      <c r="J519" s="75"/>
    </row>
    <row r="520">
      <c r="G520" s="75"/>
      <c r="H520" s="75"/>
      <c r="I520" s="75"/>
      <c r="J520" s="75"/>
    </row>
    <row r="521">
      <c r="G521" s="75"/>
      <c r="H521" s="75"/>
      <c r="I521" s="75"/>
      <c r="J521" s="75"/>
    </row>
    <row r="522">
      <c r="G522" s="75"/>
      <c r="H522" s="75"/>
      <c r="I522" s="75"/>
      <c r="J522" s="75"/>
    </row>
    <row r="523">
      <c r="G523" s="75"/>
      <c r="H523" s="75"/>
      <c r="I523" s="75"/>
      <c r="J523" s="75"/>
    </row>
    <row r="524">
      <c r="G524" s="75"/>
      <c r="H524" s="75"/>
      <c r="I524" s="75"/>
      <c r="J524" s="75"/>
    </row>
    <row r="525">
      <c r="G525" s="75"/>
      <c r="H525" s="75"/>
      <c r="I525" s="75"/>
      <c r="J525" s="75"/>
    </row>
    <row r="526">
      <c r="G526" s="75"/>
      <c r="H526" s="75"/>
      <c r="I526" s="75"/>
      <c r="J526" s="75"/>
    </row>
    <row r="527">
      <c r="G527" s="75"/>
      <c r="H527" s="75"/>
      <c r="I527" s="75"/>
      <c r="J527" s="75"/>
    </row>
    <row r="528">
      <c r="G528" s="75"/>
      <c r="H528" s="75"/>
      <c r="I528" s="75"/>
      <c r="J528" s="75"/>
    </row>
    <row r="529">
      <c r="G529" s="75"/>
      <c r="H529" s="75"/>
      <c r="I529" s="75"/>
      <c r="J529" s="75"/>
    </row>
    <row r="530">
      <c r="G530" s="75"/>
      <c r="H530" s="75"/>
      <c r="I530" s="75"/>
      <c r="J530" s="75"/>
    </row>
    <row r="531">
      <c r="G531" s="75"/>
      <c r="H531" s="75"/>
      <c r="I531" s="75"/>
      <c r="J531" s="75"/>
    </row>
    <row r="532">
      <c r="G532" s="75"/>
      <c r="H532" s="75"/>
      <c r="I532" s="75"/>
      <c r="J532" s="75"/>
    </row>
    <row r="533">
      <c r="G533" s="75"/>
      <c r="H533" s="75"/>
      <c r="I533" s="75"/>
      <c r="J533" s="75"/>
    </row>
    <row r="534">
      <c r="G534" s="75"/>
      <c r="H534" s="75"/>
      <c r="I534" s="75"/>
      <c r="J534" s="75"/>
    </row>
    <row r="535">
      <c r="G535" s="75"/>
      <c r="H535" s="75"/>
      <c r="I535" s="75"/>
      <c r="J535" s="75"/>
    </row>
    <row r="536">
      <c r="G536" s="75"/>
      <c r="H536" s="75"/>
      <c r="I536" s="75"/>
      <c r="J536" s="75"/>
    </row>
    <row r="537">
      <c r="G537" s="75"/>
      <c r="H537" s="75"/>
      <c r="I537" s="75"/>
      <c r="J537" s="75"/>
    </row>
    <row r="538">
      <c r="G538" s="75"/>
      <c r="H538" s="75"/>
      <c r="I538" s="75"/>
      <c r="J538" s="75"/>
    </row>
    <row r="539">
      <c r="G539" s="75"/>
      <c r="H539" s="75"/>
      <c r="I539" s="75"/>
      <c r="J539" s="75"/>
    </row>
    <row r="540">
      <c r="G540" s="75"/>
      <c r="H540" s="75"/>
      <c r="I540" s="75"/>
      <c r="J540" s="75"/>
    </row>
    <row r="541">
      <c r="G541" s="75"/>
      <c r="H541" s="75"/>
      <c r="I541" s="75"/>
      <c r="J541" s="75"/>
    </row>
    <row r="542">
      <c r="G542" s="75"/>
      <c r="H542" s="75"/>
      <c r="I542" s="75"/>
      <c r="J542" s="75"/>
    </row>
    <row r="543">
      <c r="G543" s="75"/>
      <c r="H543" s="75"/>
      <c r="I543" s="75"/>
      <c r="J543" s="75"/>
    </row>
    <row r="544">
      <c r="G544" s="75"/>
      <c r="H544" s="75"/>
      <c r="I544" s="75"/>
      <c r="J544" s="75"/>
    </row>
    <row r="545">
      <c r="G545" s="75"/>
      <c r="H545" s="75"/>
      <c r="I545" s="75"/>
      <c r="J545" s="75"/>
    </row>
    <row r="546">
      <c r="G546" s="75"/>
      <c r="H546" s="75"/>
      <c r="I546" s="75"/>
      <c r="J546" s="75"/>
    </row>
    <row r="547">
      <c r="G547" s="75"/>
      <c r="H547" s="75"/>
      <c r="I547" s="75"/>
      <c r="J547" s="75"/>
    </row>
    <row r="548">
      <c r="G548" s="75"/>
      <c r="H548" s="75"/>
      <c r="I548" s="75"/>
      <c r="J548" s="75"/>
    </row>
    <row r="549">
      <c r="G549" s="75"/>
      <c r="H549" s="75"/>
      <c r="I549" s="75"/>
      <c r="J549" s="75"/>
    </row>
    <row r="550">
      <c r="G550" s="75"/>
      <c r="H550" s="75"/>
      <c r="I550" s="75"/>
      <c r="J550" s="75"/>
    </row>
    <row r="551">
      <c r="G551" s="75"/>
      <c r="H551" s="75"/>
      <c r="I551" s="75"/>
      <c r="J551" s="75"/>
    </row>
    <row r="552">
      <c r="G552" s="75"/>
      <c r="H552" s="75"/>
      <c r="I552" s="75"/>
      <c r="J552" s="75"/>
    </row>
    <row r="553">
      <c r="G553" s="75"/>
      <c r="H553" s="75"/>
      <c r="I553" s="75"/>
      <c r="J553" s="75"/>
    </row>
    <row r="554">
      <c r="G554" s="75"/>
      <c r="H554" s="75"/>
      <c r="I554" s="75"/>
      <c r="J554" s="75"/>
    </row>
    <row r="555">
      <c r="G555" s="75"/>
      <c r="H555" s="75"/>
      <c r="I555" s="75"/>
      <c r="J555" s="75"/>
    </row>
    <row r="556">
      <c r="G556" s="75"/>
      <c r="H556" s="75"/>
      <c r="I556" s="75"/>
      <c r="J556" s="75"/>
    </row>
    <row r="557">
      <c r="G557" s="75"/>
      <c r="H557" s="75"/>
      <c r="I557" s="75"/>
      <c r="J557" s="75"/>
    </row>
    <row r="558">
      <c r="G558" s="75"/>
      <c r="H558" s="75"/>
      <c r="I558" s="75"/>
      <c r="J558" s="75"/>
    </row>
    <row r="559">
      <c r="G559" s="75"/>
      <c r="H559" s="75"/>
      <c r="I559" s="75"/>
      <c r="J559" s="75"/>
    </row>
    <row r="560">
      <c r="G560" s="75"/>
      <c r="H560" s="75"/>
      <c r="I560" s="75"/>
      <c r="J560" s="75"/>
    </row>
    <row r="561">
      <c r="G561" s="75"/>
      <c r="H561" s="75"/>
      <c r="I561" s="75"/>
      <c r="J561" s="75"/>
    </row>
    <row r="562">
      <c r="G562" s="75"/>
      <c r="H562" s="75"/>
      <c r="I562" s="75"/>
      <c r="J562" s="75"/>
    </row>
    <row r="563">
      <c r="G563" s="75"/>
      <c r="H563" s="75"/>
      <c r="I563" s="75"/>
      <c r="J563" s="75"/>
    </row>
    <row r="564">
      <c r="G564" s="75"/>
      <c r="H564" s="75"/>
      <c r="I564" s="75"/>
      <c r="J564" s="75"/>
    </row>
    <row r="565">
      <c r="G565" s="75"/>
      <c r="H565" s="75"/>
      <c r="I565" s="75"/>
      <c r="J565" s="75"/>
    </row>
    <row r="566">
      <c r="G566" s="75"/>
      <c r="H566" s="75"/>
      <c r="I566" s="75"/>
      <c r="J566" s="75"/>
    </row>
    <row r="567">
      <c r="G567" s="75"/>
      <c r="H567" s="75"/>
      <c r="I567" s="75"/>
      <c r="J567" s="75"/>
    </row>
    <row r="568">
      <c r="G568" s="75"/>
      <c r="H568" s="75"/>
      <c r="I568" s="75"/>
      <c r="J568" s="75"/>
    </row>
    <row r="569">
      <c r="G569" s="75"/>
      <c r="H569" s="75"/>
      <c r="I569" s="75"/>
      <c r="J569" s="75"/>
    </row>
    <row r="570">
      <c r="G570" s="75"/>
      <c r="H570" s="75"/>
      <c r="I570" s="75"/>
      <c r="J570" s="75"/>
    </row>
    <row r="571">
      <c r="G571" s="75"/>
      <c r="H571" s="75"/>
      <c r="I571" s="75"/>
      <c r="J571" s="75"/>
    </row>
    <row r="572">
      <c r="G572" s="75"/>
      <c r="H572" s="75"/>
      <c r="I572" s="75"/>
      <c r="J572" s="75"/>
    </row>
    <row r="573">
      <c r="G573" s="75"/>
      <c r="H573" s="75"/>
      <c r="I573" s="75"/>
      <c r="J573" s="75"/>
    </row>
    <row r="574">
      <c r="G574" s="75"/>
      <c r="H574" s="75"/>
      <c r="I574" s="75"/>
      <c r="J574" s="75"/>
    </row>
    <row r="575">
      <c r="G575" s="75"/>
      <c r="H575" s="75"/>
      <c r="I575" s="75"/>
      <c r="J575" s="75"/>
    </row>
    <row r="576">
      <c r="G576" s="75"/>
      <c r="H576" s="75"/>
      <c r="I576" s="75"/>
      <c r="J576" s="75"/>
    </row>
    <row r="577">
      <c r="G577" s="75"/>
      <c r="H577" s="75"/>
      <c r="I577" s="75"/>
      <c r="J577" s="75"/>
    </row>
    <row r="578">
      <c r="G578" s="75"/>
      <c r="H578" s="75"/>
      <c r="I578" s="75"/>
      <c r="J578" s="75"/>
    </row>
    <row r="579">
      <c r="G579" s="75"/>
      <c r="H579" s="75"/>
      <c r="I579" s="75"/>
      <c r="J579" s="75"/>
    </row>
    <row r="580">
      <c r="G580" s="75"/>
      <c r="H580" s="75"/>
      <c r="I580" s="75"/>
      <c r="J580" s="75"/>
    </row>
    <row r="581">
      <c r="G581" s="75"/>
      <c r="H581" s="75"/>
      <c r="I581" s="75"/>
      <c r="J581" s="75"/>
    </row>
    <row r="582">
      <c r="G582" s="75"/>
      <c r="H582" s="75"/>
      <c r="I582" s="75"/>
      <c r="J582" s="75"/>
    </row>
    <row r="583">
      <c r="G583" s="75"/>
      <c r="H583" s="75"/>
      <c r="I583" s="75"/>
      <c r="J583" s="75"/>
    </row>
    <row r="584">
      <c r="G584" s="75"/>
      <c r="H584" s="75"/>
      <c r="I584" s="75"/>
      <c r="J584" s="75"/>
    </row>
    <row r="585">
      <c r="G585" s="75"/>
      <c r="H585" s="75"/>
      <c r="I585" s="75"/>
      <c r="J585" s="75"/>
    </row>
    <row r="586">
      <c r="G586" s="75"/>
      <c r="H586" s="75"/>
      <c r="I586" s="75"/>
      <c r="J586" s="75"/>
    </row>
    <row r="587">
      <c r="G587" s="75"/>
      <c r="H587" s="75"/>
      <c r="I587" s="75"/>
      <c r="J587" s="75"/>
    </row>
    <row r="588">
      <c r="G588" s="75"/>
      <c r="H588" s="75"/>
      <c r="I588" s="75"/>
      <c r="J588" s="75"/>
    </row>
    <row r="589">
      <c r="G589" s="75"/>
      <c r="H589" s="75"/>
      <c r="I589" s="75"/>
      <c r="J589" s="75"/>
    </row>
    <row r="590">
      <c r="G590" s="75"/>
      <c r="H590" s="75"/>
      <c r="I590" s="75"/>
      <c r="J590" s="75"/>
    </row>
    <row r="591">
      <c r="G591" s="75"/>
      <c r="H591" s="75"/>
      <c r="I591" s="75"/>
      <c r="J591" s="75"/>
    </row>
    <row r="592">
      <c r="G592" s="75"/>
      <c r="H592" s="75"/>
      <c r="I592" s="75"/>
      <c r="J592" s="75"/>
    </row>
    <row r="593">
      <c r="G593" s="75"/>
      <c r="H593" s="75"/>
      <c r="I593" s="75"/>
      <c r="J593" s="75"/>
    </row>
    <row r="594">
      <c r="G594" s="75"/>
      <c r="H594" s="75"/>
      <c r="I594" s="75"/>
      <c r="J594" s="75"/>
    </row>
    <row r="595">
      <c r="G595" s="75"/>
      <c r="H595" s="75"/>
      <c r="I595" s="75"/>
      <c r="J595" s="75"/>
    </row>
    <row r="596">
      <c r="G596" s="75"/>
      <c r="H596" s="75"/>
      <c r="I596" s="75"/>
      <c r="J596" s="75"/>
    </row>
    <row r="597">
      <c r="G597" s="75"/>
      <c r="H597" s="75"/>
      <c r="I597" s="75"/>
      <c r="J597" s="75"/>
    </row>
    <row r="598">
      <c r="G598" s="75"/>
      <c r="H598" s="75"/>
      <c r="I598" s="75"/>
      <c r="J598" s="75"/>
    </row>
    <row r="599">
      <c r="G599" s="75"/>
      <c r="H599" s="75"/>
      <c r="I599" s="75"/>
      <c r="J599" s="75"/>
    </row>
    <row r="600">
      <c r="G600" s="75"/>
      <c r="H600" s="75"/>
      <c r="I600" s="75"/>
      <c r="J600" s="75"/>
    </row>
    <row r="601">
      <c r="G601" s="75"/>
      <c r="H601" s="75"/>
      <c r="I601" s="75"/>
      <c r="J601" s="75"/>
    </row>
    <row r="602">
      <c r="G602" s="75"/>
      <c r="H602" s="75"/>
      <c r="I602" s="75"/>
      <c r="J602" s="75"/>
    </row>
    <row r="603">
      <c r="G603" s="75"/>
      <c r="H603" s="75"/>
      <c r="I603" s="75"/>
      <c r="J603" s="75"/>
    </row>
    <row r="604">
      <c r="G604" s="75"/>
      <c r="H604" s="75"/>
      <c r="I604" s="75"/>
      <c r="J604" s="75"/>
    </row>
    <row r="605">
      <c r="G605" s="75"/>
      <c r="H605" s="75"/>
      <c r="I605" s="75"/>
      <c r="J605" s="75"/>
    </row>
    <row r="606">
      <c r="G606" s="75"/>
      <c r="H606" s="75"/>
      <c r="I606" s="75"/>
      <c r="J606" s="75"/>
    </row>
    <row r="607">
      <c r="G607" s="75"/>
      <c r="H607" s="75"/>
      <c r="I607" s="75"/>
      <c r="J607" s="75"/>
    </row>
    <row r="608">
      <c r="G608" s="75"/>
      <c r="H608" s="75"/>
      <c r="I608" s="75"/>
      <c r="J608" s="75"/>
    </row>
    <row r="609">
      <c r="G609" s="75"/>
      <c r="H609" s="75"/>
      <c r="I609" s="75"/>
      <c r="J609" s="75"/>
    </row>
    <row r="610">
      <c r="G610" s="75"/>
      <c r="H610" s="75"/>
      <c r="I610" s="75"/>
      <c r="J610" s="75"/>
    </row>
    <row r="611">
      <c r="G611" s="75"/>
      <c r="H611" s="75"/>
      <c r="I611" s="75"/>
      <c r="J611" s="75"/>
    </row>
    <row r="612">
      <c r="G612" s="75"/>
      <c r="H612" s="75"/>
      <c r="I612" s="75"/>
      <c r="J612" s="75"/>
    </row>
    <row r="613">
      <c r="G613" s="75"/>
      <c r="H613" s="75"/>
      <c r="I613" s="75"/>
      <c r="J613" s="75"/>
    </row>
    <row r="614">
      <c r="G614" s="75"/>
      <c r="H614" s="75"/>
      <c r="I614" s="75"/>
      <c r="J614" s="75"/>
    </row>
    <row r="615">
      <c r="G615" s="75"/>
      <c r="H615" s="75"/>
      <c r="I615" s="75"/>
      <c r="J615" s="75"/>
    </row>
    <row r="616">
      <c r="G616" s="75"/>
      <c r="H616" s="75"/>
      <c r="I616" s="75"/>
      <c r="J616" s="75"/>
    </row>
    <row r="617">
      <c r="G617" s="75"/>
      <c r="H617" s="75"/>
      <c r="I617" s="75"/>
      <c r="J617" s="75"/>
    </row>
    <row r="618">
      <c r="G618" s="75"/>
      <c r="H618" s="75"/>
      <c r="I618" s="75"/>
      <c r="J618" s="75"/>
    </row>
    <row r="619">
      <c r="G619" s="75"/>
      <c r="H619" s="75"/>
      <c r="I619" s="75"/>
      <c r="J619" s="75"/>
    </row>
    <row r="620">
      <c r="G620" s="75"/>
      <c r="H620" s="75"/>
      <c r="I620" s="75"/>
      <c r="J620" s="75"/>
    </row>
    <row r="621">
      <c r="G621" s="75"/>
      <c r="H621" s="75"/>
      <c r="I621" s="75"/>
      <c r="J621" s="75"/>
    </row>
    <row r="622">
      <c r="G622" s="75"/>
      <c r="H622" s="75"/>
      <c r="I622" s="75"/>
      <c r="J622" s="75"/>
    </row>
    <row r="623">
      <c r="G623" s="75"/>
      <c r="H623" s="75"/>
      <c r="I623" s="75"/>
      <c r="J623" s="75"/>
    </row>
    <row r="624">
      <c r="G624" s="75"/>
      <c r="H624" s="75"/>
      <c r="I624" s="75"/>
      <c r="J624" s="75"/>
    </row>
    <row r="625">
      <c r="G625" s="75"/>
      <c r="H625" s="75"/>
      <c r="I625" s="75"/>
      <c r="J625" s="75"/>
    </row>
    <row r="626">
      <c r="G626" s="75"/>
      <c r="H626" s="75"/>
      <c r="I626" s="75"/>
      <c r="J626" s="75"/>
    </row>
    <row r="627">
      <c r="G627" s="75"/>
      <c r="H627" s="75"/>
      <c r="I627" s="75"/>
      <c r="J627" s="75"/>
    </row>
    <row r="628">
      <c r="G628" s="75"/>
      <c r="H628" s="75"/>
      <c r="I628" s="75"/>
      <c r="J628" s="75"/>
    </row>
    <row r="629">
      <c r="G629" s="75"/>
      <c r="H629" s="75"/>
      <c r="I629" s="75"/>
      <c r="J629" s="75"/>
    </row>
    <row r="630">
      <c r="G630" s="75"/>
      <c r="H630" s="75"/>
      <c r="I630" s="75"/>
      <c r="J630" s="75"/>
    </row>
    <row r="631">
      <c r="G631" s="75"/>
      <c r="H631" s="75"/>
      <c r="I631" s="75"/>
      <c r="J631" s="75"/>
    </row>
    <row r="632">
      <c r="G632" s="75"/>
      <c r="H632" s="75"/>
      <c r="I632" s="75"/>
      <c r="J632" s="75"/>
    </row>
    <row r="633">
      <c r="G633" s="75"/>
      <c r="H633" s="75"/>
      <c r="I633" s="75"/>
      <c r="J633" s="75"/>
    </row>
    <row r="634">
      <c r="G634" s="75"/>
      <c r="H634" s="75"/>
      <c r="I634" s="75"/>
      <c r="J634" s="75"/>
    </row>
    <row r="635">
      <c r="G635" s="75"/>
      <c r="H635" s="75"/>
      <c r="I635" s="75"/>
      <c r="J635" s="75"/>
    </row>
    <row r="636">
      <c r="G636" s="75"/>
      <c r="H636" s="75"/>
      <c r="I636" s="75"/>
      <c r="J636" s="75"/>
    </row>
    <row r="637">
      <c r="G637" s="75"/>
      <c r="H637" s="75"/>
      <c r="I637" s="75"/>
      <c r="J637" s="75"/>
    </row>
    <row r="638">
      <c r="G638" s="75"/>
      <c r="H638" s="75"/>
      <c r="I638" s="75"/>
      <c r="J638" s="75"/>
    </row>
    <row r="639">
      <c r="G639" s="75"/>
      <c r="H639" s="75"/>
      <c r="I639" s="75"/>
      <c r="J639" s="75"/>
    </row>
    <row r="640">
      <c r="G640" s="75"/>
      <c r="H640" s="75"/>
      <c r="I640" s="75"/>
      <c r="J640" s="75"/>
    </row>
    <row r="641">
      <c r="G641" s="75"/>
      <c r="H641" s="75"/>
      <c r="I641" s="75"/>
      <c r="J641" s="75"/>
    </row>
    <row r="642">
      <c r="G642" s="75"/>
      <c r="H642" s="75"/>
      <c r="I642" s="75"/>
      <c r="J642" s="75"/>
    </row>
    <row r="643">
      <c r="G643" s="75"/>
      <c r="H643" s="75"/>
      <c r="I643" s="75"/>
      <c r="J643" s="75"/>
    </row>
    <row r="644">
      <c r="G644" s="75"/>
      <c r="H644" s="75"/>
      <c r="I644" s="75"/>
      <c r="J644" s="75"/>
    </row>
    <row r="645">
      <c r="G645" s="75"/>
      <c r="H645" s="75"/>
      <c r="I645" s="75"/>
      <c r="J645" s="75"/>
    </row>
    <row r="646">
      <c r="G646" s="75"/>
      <c r="H646" s="75"/>
      <c r="I646" s="75"/>
      <c r="J646" s="75"/>
    </row>
    <row r="647">
      <c r="G647" s="75"/>
      <c r="H647" s="75"/>
      <c r="I647" s="75"/>
      <c r="J647" s="75"/>
    </row>
    <row r="648">
      <c r="G648" s="75"/>
      <c r="H648" s="75"/>
      <c r="I648" s="75"/>
      <c r="J648" s="75"/>
    </row>
    <row r="649">
      <c r="G649" s="75"/>
      <c r="H649" s="75"/>
      <c r="I649" s="75"/>
      <c r="J649" s="75"/>
    </row>
    <row r="650">
      <c r="G650" s="75"/>
      <c r="H650" s="75"/>
      <c r="I650" s="75"/>
      <c r="J650" s="75"/>
    </row>
    <row r="651">
      <c r="G651" s="75"/>
      <c r="H651" s="75"/>
      <c r="I651" s="75"/>
      <c r="J651" s="75"/>
    </row>
    <row r="652">
      <c r="G652" s="75"/>
      <c r="H652" s="75"/>
      <c r="I652" s="75"/>
      <c r="J652" s="75"/>
    </row>
    <row r="653">
      <c r="G653" s="75"/>
      <c r="H653" s="75"/>
      <c r="I653" s="75"/>
      <c r="J653" s="75"/>
    </row>
    <row r="654">
      <c r="G654" s="75"/>
      <c r="H654" s="75"/>
      <c r="I654" s="75"/>
      <c r="J654" s="75"/>
    </row>
    <row r="655">
      <c r="G655" s="75"/>
      <c r="H655" s="75"/>
      <c r="I655" s="75"/>
      <c r="J655" s="75"/>
    </row>
    <row r="656">
      <c r="G656" s="75"/>
      <c r="H656" s="75"/>
      <c r="I656" s="75"/>
      <c r="J656" s="75"/>
    </row>
    <row r="657">
      <c r="G657" s="75"/>
      <c r="H657" s="75"/>
      <c r="I657" s="75"/>
      <c r="J657" s="75"/>
    </row>
    <row r="658">
      <c r="G658" s="75"/>
      <c r="H658" s="75"/>
      <c r="I658" s="75"/>
      <c r="J658" s="75"/>
    </row>
    <row r="659">
      <c r="G659" s="75"/>
      <c r="H659" s="75"/>
      <c r="I659" s="75"/>
      <c r="J659" s="75"/>
    </row>
    <row r="660">
      <c r="G660" s="75"/>
      <c r="H660" s="75"/>
      <c r="I660" s="75"/>
      <c r="J660" s="75"/>
    </row>
    <row r="661">
      <c r="G661" s="75"/>
      <c r="H661" s="75"/>
      <c r="I661" s="75"/>
      <c r="J661" s="75"/>
    </row>
    <row r="662">
      <c r="G662" s="75"/>
      <c r="H662" s="75"/>
      <c r="I662" s="75"/>
      <c r="J662" s="75"/>
    </row>
    <row r="663">
      <c r="G663" s="75"/>
      <c r="H663" s="75"/>
      <c r="I663" s="75"/>
      <c r="J663" s="75"/>
    </row>
    <row r="664">
      <c r="G664" s="75"/>
      <c r="H664" s="75"/>
      <c r="I664" s="75"/>
      <c r="J664" s="75"/>
    </row>
    <row r="665">
      <c r="G665" s="75"/>
      <c r="H665" s="75"/>
      <c r="I665" s="75"/>
      <c r="J665" s="75"/>
    </row>
    <row r="666">
      <c r="G666" s="75"/>
      <c r="H666" s="75"/>
      <c r="I666" s="75"/>
      <c r="J666" s="75"/>
    </row>
    <row r="667">
      <c r="G667" s="75"/>
      <c r="H667" s="75"/>
      <c r="I667" s="75"/>
      <c r="J667" s="75"/>
    </row>
    <row r="668">
      <c r="G668" s="75"/>
      <c r="H668" s="75"/>
      <c r="I668" s="75"/>
      <c r="J668" s="75"/>
    </row>
    <row r="669">
      <c r="G669" s="75"/>
      <c r="H669" s="75"/>
      <c r="I669" s="75"/>
      <c r="J669" s="75"/>
    </row>
    <row r="670">
      <c r="G670" s="75"/>
      <c r="H670" s="75"/>
      <c r="I670" s="75"/>
      <c r="J670" s="75"/>
    </row>
    <row r="671">
      <c r="G671" s="75"/>
      <c r="H671" s="75"/>
      <c r="I671" s="75"/>
      <c r="J671" s="75"/>
    </row>
    <row r="672">
      <c r="G672" s="75"/>
      <c r="H672" s="75"/>
      <c r="I672" s="75"/>
      <c r="J672" s="75"/>
    </row>
    <row r="673">
      <c r="G673" s="75"/>
      <c r="H673" s="75"/>
      <c r="I673" s="75"/>
      <c r="J673" s="75"/>
    </row>
    <row r="674">
      <c r="G674" s="75"/>
      <c r="H674" s="75"/>
      <c r="I674" s="75"/>
      <c r="J674" s="75"/>
    </row>
    <row r="675">
      <c r="G675" s="75"/>
      <c r="H675" s="75"/>
      <c r="I675" s="75"/>
      <c r="J675" s="75"/>
    </row>
    <row r="676">
      <c r="G676" s="75"/>
      <c r="H676" s="75"/>
      <c r="I676" s="75"/>
      <c r="J676" s="75"/>
    </row>
    <row r="677">
      <c r="G677" s="75"/>
      <c r="H677" s="75"/>
      <c r="I677" s="75"/>
      <c r="J677" s="75"/>
    </row>
    <row r="678">
      <c r="G678" s="75"/>
      <c r="H678" s="75"/>
      <c r="I678" s="75"/>
      <c r="J678" s="75"/>
    </row>
    <row r="679">
      <c r="G679" s="75"/>
      <c r="H679" s="75"/>
      <c r="I679" s="75"/>
      <c r="J679" s="75"/>
    </row>
    <row r="680">
      <c r="G680" s="75"/>
      <c r="H680" s="75"/>
      <c r="I680" s="75"/>
      <c r="J680" s="75"/>
    </row>
    <row r="681">
      <c r="G681" s="75"/>
      <c r="H681" s="75"/>
      <c r="I681" s="75"/>
      <c r="J681" s="75"/>
    </row>
    <row r="682">
      <c r="G682" s="75"/>
      <c r="H682" s="75"/>
      <c r="I682" s="75"/>
      <c r="J682" s="75"/>
    </row>
    <row r="683">
      <c r="G683" s="75"/>
      <c r="H683" s="75"/>
      <c r="I683" s="75"/>
      <c r="J683" s="75"/>
    </row>
    <row r="684">
      <c r="G684" s="75"/>
      <c r="H684" s="75"/>
      <c r="I684" s="75"/>
      <c r="J684" s="75"/>
    </row>
    <row r="685">
      <c r="G685" s="75"/>
      <c r="H685" s="75"/>
      <c r="I685" s="75"/>
      <c r="J685" s="75"/>
    </row>
    <row r="686">
      <c r="G686" s="75"/>
      <c r="H686" s="75"/>
      <c r="I686" s="75"/>
      <c r="J686" s="75"/>
    </row>
    <row r="687">
      <c r="G687" s="75"/>
      <c r="H687" s="75"/>
      <c r="I687" s="75"/>
      <c r="J687" s="75"/>
    </row>
    <row r="688">
      <c r="G688" s="75"/>
      <c r="H688" s="75"/>
      <c r="I688" s="75"/>
      <c r="J688" s="75"/>
    </row>
    <row r="689">
      <c r="G689" s="75"/>
      <c r="H689" s="75"/>
      <c r="I689" s="75"/>
      <c r="J689" s="75"/>
    </row>
    <row r="690">
      <c r="G690" s="75"/>
      <c r="H690" s="75"/>
      <c r="I690" s="75"/>
      <c r="J690" s="75"/>
    </row>
    <row r="691">
      <c r="G691" s="75"/>
      <c r="H691" s="75"/>
      <c r="I691" s="75"/>
      <c r="J691" s="75"/>
    </row>
    <row r="692">
      <c r="G692" s="75"/>
      <c r="H692" s="75"/>
      <c r="I692" s="75"/>
      <c r="J692" s="75"/>
    </row>
    <row r="693">
      <c r="G693" s="75"/>
      <c r="H693" s="75"/>
      <c r="I693" s="75"/>
      <c r="J693" s="75"/>
    </row>
    <row r="694">
      <c r="G694" s="75"/>
      <c r="H694" s="75"/>
      <c r="I694" s="75"/>
      <c r="J694" s="75"/>
    </row>
    <row r="695">
      <c r="G695" s="75"/>
      <c r="H695" s="75"/>
      <c r="I695" s="75"/>
      <c r="J695" s="75"/>
    </row>
    <row r="696">
      <c r="G696" s="75"/>
      <c r="H696" s="75"/>
      <c r="I696" s="75"/>
      <c r="J696" s="75"/>
    </row>
    <row r="697">
      <c r="G697" s="75"/>
      <c r="H697" s="75"/>
      <c r="I697" s="75"/>
      <c r="J697" s="75"/>
    </row>
    <row r="698">
      <c r="G698" s="75"/>
      <c r="H698" s="75"/>
      <c r="I698" s="75"/>
      <c r="J698" s="75"/>
    </row>
    <row r="699">
      <c r="G699" s="75"/>
      <c r="H699" s="75"/>
      <c r="I699" s="75"/>
      <c r="J699" s="75"/>
    </row>
    <row r="700">
      <c r="G700" s="75"/>
      <c r="H700" s="75"/>
      <c r="I700" s="75"/>
      <c r="J700" s="75"/>
    </row>
    <row r="701">
      <c r="G701" s="75"/>
      <c r="H701" s="75"/>
      <c r="I701" s="75"/>
      <c r="J701" s="75"/>
    </row>
    <row r="702">
      <c r="G702" s="75"/>
      <c r="H702" s="75"/>
      <c r="I702" s="75"/>
      <c r="J702" s="75"/>
    </row>
    <row r="703">
      <c r="G703" s="75"/>
      <c r="H703" s="75"/>
      <c r="I703" s="75"/>
      <c r="J703" s="75"/>
    </row>
    <row r="704">
      <c r="G704" s="75"/>
      <c r="H704" s="75"/>
      <c r="I704" s="75"/>
      <c r="J704" s="75"/>
    </row>
    <row r="705">
      <c r="G705" s="75"/>
      <c r="H705" s="75"/>
      <c r="I705" s="75"/>
      <c r="J705" s="75"/>
    </row>
    <row r="706">
      <c r="G706" s="75"/>
      <c r="H706" s="75"/>
      <c r="I706" s="75"/>
      <c r="J706" s="75"/>
    </row>
    <row r="707">
      <c r="G707" s="75"/>
      <c r="H707" s="75"/>
      <c r="I707" s="75"/>
      <c r="J707" s="75"/>
    </row>
    <row r="708">
      <c r="G708" s="75"/>
      <c r="H708" s="75"/>
      <c r="I708" s="75"/>
      <c r="J708" s="75"/>
    </row>
    <row r="709">
      <c r="G709" s="75"/>
      <c r="H709" s="75"/>
      <c r="I709" s="75"/>
      <c r="J709" s="75"/>
    </row>
    <row r="710">
      <c r="G710" s="75"/>
      <c r="H710" s="75"/>
      <c r="I710" s="75"/>
      <c r="J710" s="75"/>
    </row>
    <row r="711">
      <c r="G711" s="75"/>
      <c r="H711" s="75"/>
      <c r="I711" s="75"/>
      <c r="J711" s="75"/>
    </row>
    <row r="712">
      <c r="G712" s="75"/>
      <c r="H712" s="75"/>
      <c r="I712" s="75"/>
      <c r="J712" s="75"/>
    </row>
    <row r="713">
      <c r="G713" s="75"/>
      <c r="H713" s="75"/>
      <c r="I713" s="75"/>
      <c r="J713" s="75"/>
    </row>
    <row r="714">
      <c r="G714" s="75"/>
      <c r="H714" s="75"/>
      <c r="I714" s="75"/>
      <c r="J714" s="75"/>
    </row>
    <row r="715">
      <c r="G715" s="75"/>
      <c r="H715" s="75"/>
      <c r="I715" s="75"/>
      <c r="J715" s="75"/>
    </row>
    <row r="716">
      <c r="G716" s="75"/>
      <c r="H716" s="75"/>
      <c r="I716" s="75"/>
      <c r="J716" s="75"/>
    </row>
    <row r="717">
      <c r="G717" s="75"/>
      <c r="H717" s="75"/>
      <c r="I717" s="75"/>
      <c r="J717" s="75"/>
    </row>
    <row r="718">
      <c r="G718" s="75"/>
      <c r="H718" s="75"/>
      <c r="I718" s="75"/>
      <c r="J718" s="75"/>
    </row>
    <row r="719">
      <c r="G719" s="75"/>
      <c r="H719" s="75"/>
      <c r="I719" s="75"/>
      <c r="J719" s="75"/>
    </row>
    <row r="720">
      <c r="G720" s="75"/>
      <c r="H720" s="75"/>
      <c r="I720" s="75"/>
      <c r="J720" s="75"/>
    </row>
    <row r="721">
      <c r="G721" s="75"/>
      <c r="H721" s="75"/>
      <c r="I721" s="75"/>
      <c r="J721" s="75"/>
    </row>
    <row r="722">
      <c r="G722" s="75"/>
      <c r="H722" s="75"/>
      <c r="I722" s="75"/>
      <c r="J722" s="75"/>
    </row>
    <row r="723">
      <c r="G723" s="75"/>
      <c r="H723" s="75"/>
      <c r="I723" s="75"/>
      <c r="J723" s="75"/>
    </row>
    <row r="724">
      <c r="G724" s="75"/>
      <c r="H724" s="75"/>
      <c r="I724" s="75"/>
      <c r="J724" s="75"/>
    </row>
    <row r="725">
      <c r="G725" s="75"/>
      <c r="H725" s="75"/>
      <c r="I725" s="75"/>
      <c r="J725" s="75"/>
    </row>
    <row r="726">
      <c r="G726" s="75"/>
      <c r="H726" s="75"/>
      <c r="I726" s="75"/>
      <c r="J726" s="75"/>
    </row>
    <row r="727">
      <c r="G727" s="75"/>
      <c r="H727" s="75"/>
      <c r="I727" s="75"/>
      <c r="J727" s="75"/>
    </row>
    <row r="728">
      <c r="G728" s="75"/>
      <c r="H728" s="75"/>
      <c r="I728" s="75"/>
      <c r="J728" s="75"/>
    </row>
    <row r="729">
      <c r="G729" s="75"/>
      <c r="H729" s="75"/>
      <c r="I729" s="75"/>
      <c r="J729" s="75"/>
    </row>
    <row r="730">
      <c r="G730" s="75"/>
      <c r="H730" s="75"/>
      <c r="I730" s="75"/>
      <c r="J730" s="75"/>
    </row>
    <row r="731">
      <c r="G731" s="75"/>
      <c r="H731" s="75"/>
      <c r="I731" s="75"/>
      <c r="J731" s="75"/>
    </row>
    <row r="732">
      <c r="G732" s="75"/>
      <c r="H732" s="75"/>
      <c r="I732" s="75"/>
      <c r="J732" s="75"/>
    </row>
    <row r="733">
      <c r="G733" s="75"/>
      <c r="H733" s="75"/>
      <c r="I733" s="75"/>
      <c r="J733" s="75"/>
    </row>
    <row r="734">
      <c r="G734" s="75"/>
      <c r="H734" s="75"/>
      <c r="I734" s="75"/>
      <c r="J734" s="75"/>
    </row>
    <row r="735">
      <c r="G735" s="75"/>
      <c r="H735" s="75"/>
      <c r="I735" s="75"/>
      <c r="J735" s="75"/>
    </row>
    <row r="736">
      <c r="G736" s="75"/>
      <c r="H736" s="75"/>
      <c r="I736" s="75"/>
      <c r="J736" s="75"/>
    </row>
    <row r="737">
      <c r="G737" s="75"/>
      <c r="H737" s="75"/>
      <c r="I737" s="75"/>
      <c r="J737" s="75"/>
    </row>
    <row r="738">
      <c r="G738" s="75"/>
      <c r="H738" s="75"/>
      <c r="I738" s="75"/>
      <c r="J738" s="75"/>
    </row>
    <row r="739">
      <c r="G739" s="75"/>
      <c r="H739" s="75"/>
      <c r="I739" s="75"/>
      <c r="J739" s="75"/>
    </row>
    <row r="740">
      <c r="G740" s="75"/>
      <c r="H740" s="75"/>
      <c r="I740" s="75"/>
      <c r="J740" s="75"/>
    </row>
    <row r="741">
      <c r="G741" s="75"/>
      <c r="H741" s="75"/>
      <c r="I741" s="75"/>
      <c r="J741" s="75"/>
    </row>
    <row r="742">
      <c r="G742" s="75"/>
      <c r="H742" s="75"/>
      <c r="I742" s="75"/>
      <c r="J742" s="75"/>
    </row>
    <row r="743">
      <c r="G743" s="75"/>
      <c r="H743" s="75"/>
      <c r="I743" s="75"/>
      <c r="J743" s="75"/>
    </row>
    <row r="744">
      <c r="G744" s="75"/>
      <c r="H744" s="75"/>
      <c r="I744" s="75"/>
      <c r="J744" s="75"/>
    </row>
    <row r="745">
      <c r="G745" s="75"/>
      <c r="H745" s="75"/>
      <c r="I745" s="75"/>
      <c r="J745" s="75"/>
    </row>
    <row r="746">
      <c r="G746" s="75"/>
      <c r="H746" s="75"/>
      <c r="I746" s="75"/>
      <c r="J746" s="75"/>
    </row>
    <row r="747">
      <c r="G747" s="75"/>
      <c r="H747" s="75"/>
      <c r="I747" s="75"/>
      <c r="J747" s="75"/>
    </row>
    <row r="748">
      <c r="G748" s="75"/>
      <c r="H748" s="75"/>
      <c r="I748" s="75"/>
      <c r="J748" s="75"/>
    </row>
    <row r="749">
      <c r="G749" s="75"/>
      <c r="H749" s="75"/>
      <c r="I749" s="75"/>
      <c r="J749" s="75"/>
    </row>
    <row r="750">
      <c r="G750" s="75"/>
      <c r="H750" s="75"/>
      <c r="I750" s="75"/>
      <c r="J750" s="75"/>
    </row>
    <row r="751">
      <c r="G751" s="75"/>
      <c r="H751" s="75"/>
      <c r="I751" s="75"/>
      <c r="J751" s="75"/>
    </row>
    <row r="752">
      <c r="G752" s="75"/>
      <c r="H752" s="75"/>
      <c r="I752" s="75"/>
      <c r="J752" s="75"/>
    </row>
    <row r="753">
      <c r="G753" s="75"/>
      <c r="H753" s="75"/>
      <c r="I753" s="75"/>
      <c r="J753" s="75"/>
    </row>
    <row r="754">
      <c r="G754" s="75"/>
      <c r="H754" s="75"/>
      <c r="I754" s="75"/>
      <c r="J754" s="75"/>
    </row>
    <row r="755">
      <c r="G755" s="75"/>
      <c r="H755" s="75"/>
      <c r="I755" s="75"/>
      <c r="J755" s="75"/>
    </row>
    <row r="756">
      <c r="G756" s="75"/>
      <c r="H756" s="75"/>
      <c r="I756" s="75"/>
      <c r="J756" s="75"/>
    </row>
    <row r="757">
      <c r="G757" s="75"/>
      <c r="H757" s="75"/>
      <c r="I757" s="75"/>
      <c r="J757" s="75"/>
    </row>
    <row r="758">
      <c r="G758" s="75"/>
      <c r="H758" s="75"/>
      <c r="I758" s="75"/>
      <c r="J758" s="75"/>
    </row>
    <row r="759">
      <c r="G759" s="75"/>
      <c r="H759" s="75"/>
      <c r="I759" s="75"/>
      <c r="J759" s="75"/>
    </row>
    <row r="760">
      <c r="G760" s="75"/>
      <c r="H760" s="75"/>
      <c r="I760" s="75"/>
      <c r="J760" s="75"/>
    </row>
    <row r="761">
      <c r="G761" s="75"/>
      <c r="H761" s="75"/>
      <c r="I761" s="75"/>
      <c r="J761" s="75"/>
    </row>
    <row r="762">
      <c r="G762" s="75"/>
      <c r="H762" s="75"/>
      <c r="I762" s="75"/>
      <c r="J762" s="75"/>
    </row>
    <row r="763">
      <c r="G763" s="75"/>
      <c r="H763" s="75"/>
      <c r="I763" s="75"/>
      <c r="J763" s="75"/>
    </row>
    <row r="764">
      <c r="G764" s="75"/>
      <c r="H764" s="75"/>
      <c r="I764" s="75"/>
      <c r="J764" s="75"/>
    </row>
    <row r="765">
      <c r="G765" s="75"/>
      <c r="H765" s="75"/>
      <c r="I765" s="75"/>
      <c r="J765" s="75"/>
    </row>
    <row r="766">
      <c r="G766" s="75"/>
      <c r="H766" s="75"/>
      <c r="I766" s="75"/>
      <c r="J766" s="75"/>
    </row>
    <row r="767">
      <c r="G767" s="75"/>
      <c r="H767" s="75"/>
      <c r="I767" s="75"/>
      <c r="J767" s="75"/>
    </row>
    <row r="768">
      <c r="G768" s="75"/>
      <c r="H768" s="75"/>
      <c r="I768" s="75"/>
      <c r="J768" s="75"/>
    </row>
    <row r="769">
      <c r="G769" s="75"/>
      <c r="H769" s="75"/>
      <c r="I769" s="75"/>
      <c r="J769" s="75"/>
    </row>
    <row r="770">
      <c r="G770" s="75"/>
      <c r="H770" s="75"/>
      <c r="I770" s="75"/>
      <c r="J770" s="75"/>
    </row>
    <row r="771">
      <c r="G771" s="75"/>
      <c r="H771" s="75"/>
      <c r="I771" s="75"/>
      <c r="J771" s="75"/>
    </row>
    <row r="772">
      <c r="G772" s="75"/>
      <c r="H772" s="75"/>
      <c r="I772" s="75"/>
      <c r="J772" s="75"/>
    </row>
    <row r="773">
      <c r="G773" s="75"/>
      <c r="H773" s="75"/>
      <c r="I773" s="75"/>
      <c r="J773" s="75"/>
    </row>
    <row r="774">
      <c r="G774" s="75"/>
      <c r="H774" s="75"/>
      <c r="I774" s="75"/>
      <c r="J774" s="75"/>
    </row>
    <row r="775">
      <c r="G775" s="75"/>
      <c r="H775" s="75"/>
      <c r="I775" s="75"/>
      <c r="J775" s="75"/>
    </row>
    <row r="776">
      <c r="G776" s="75"/>
      <c r="H776" s="75"/>
      <c r="I776" s="75"/>
      <c r="J776" s="75"/>
    </row>
    <row r="777">
      <c r="G777" s="75"/>
      <c r="H777" s="75"/>
      <c r="I777" s="75"/>
      <c r="J777" s="75"/>
    </row>
    <row r="778">
      <c r="G778" s="75"/>
      <c r="H778" s="75"/>
      <c r="I778" s="75"/>
      <c r="J778" s="75"/>
    </row>
    <row r="779">
      <c r="G779" s="75"/>
      <c r="H779" s="75"/>
      <c r="I779" s="75"/>
      <c r="J779" s="75"/>
    </row>
    <row r="780">
      <c r="G780" s="75"/>
      <c r="H780" s="75"/>
      <c r="I780" s="75"/>
      <c r="J780" s="75"/>
    </row>
    <row r="781">
      <c r="G781" s="75"/>
      <c r="H781" s="75"/>
      <c r="I781" s="75"/>
      <c r="J781" s="75"/>
    </row>
    <row r="782">
      <c r="G782" s="75"/>
      <c r="H782" s="75"/>
      <c r="I782" s="75"/>
      <c r="J782" s="75"/>
    </row>
    <row r="783">
      <c r="G783" s="75"/>
      <c r="H783" s="75"/>
      <c r="I783" s="75"/>
      <c r="J783" s="75"/>
    </row>
    <row r="784">
      <c r="G784" s="75"/>
      <c r="H784" s="75"/>
      <c r="I784" s="75"/>
      <c r="J784" s="75"/>
    </row>
    <row r="785">
      <c r="G785" s="75"/>
      <c r="H785" s="75"/>
      <c r="I785" s="75"/>
      <c r="J785" s="75"/>
    </row>
    <row r="786">
      <c r="G786" s="75"/>
      <c r="H786" s="75"/>
      <c r="I786" s="75"/>
      <c r="J786" s="75"/>
    </row>
    <row r="787">
      <c r="G787" s="75"/>
      <c r="H787" s="75"/>
      <c r="I787" s="75"/>
      <c r="J787" s="75"/>
    </row>
    <row r="788">
      <c r="G788" s="75"/>
      <c r="H788" s="75"/>
      <c r="I788" s="75"/>
      <c r="J788" s="75"/>
    </row>
    <row r="789">
      <c r="G789" s="75"/>
      <c r="H789" s="75"/>
      <c r="I789" s="75"/>
      <c r="J789" s="75"/>
    </row>
    <row r="790">
      <c r="G790" s="75"/>
      <c r="H790" s="75"/>
      <c r="I790" s="75"/>
      <c r="J790" s="75"/>
    </row>
    <row r="791">
      <c r="G791" s="75"/>
      <c r="H791" s="75"/>
      <c r="I791" s="75"/>
      <c r="J791" s="75"/>
    </row>
    <row r="792">
      <c r="G792" s="75"/>
      <c r="H792" s="75"/>
      <c r="I792" s="75"/>
      <c r="J792" s="75"/>
    </row>
    <row r="793">
      <c r="G793" s="75"/>
      <c r="H793" s="75"/>
      <c r="I793" s="75"/>
      <c r="J793" s="75"/>
    </row>
    <row r="794">
      <c r="G794" s="75"/>
      <c r="H794" s="75"/>
      <c r="I794" s="75"/>
      <c r="J794" s="75"/>
    </row>
    <row r="795">
      <c r="G795" s="75"/>
      <c r="H795" s="75"/>
      <c r="I795" s="75"/>
      <c r="J795" s="75"/>
    </row>
    <row r="796">
      <c r="G796" s="75"/>
      <c r="H796" s="75"/>
      <c r="I796" s="75"/>
      <c r="J796" s="75"/>
    </row>
    <row r="797">
      <c r="G797" s="75"/>
      <c r="H797" s="75"/>
      <c r="I797" s="75"/>
      <c r="J797" s="75"/>
    </row>
    <row r="798">
      <c r="G798" s="75"/>
      <c r="H798" s="75"/>
      <c r="I798" s="75"/>
      <c r="J798" s="75"/>
    </row>
    <row r="799">
      <c r="G799" s="75"/>
      <c r="H799" s="75"/>
      <c r="I799" s="75"/>
      <c r="J799" s="75"/>
    </row>
    <row r="800">
      <c r="G800" s="75"/>
      <c r="H800" s="75"/>
      <c r="I800" s="75"/>
      <c r="J800" s="75"/>
    </row>
    <row r="801">
      <c r="G801" s="75"/>
      <c r="H801" s="75"/>
      <c r="I801" s="75"/>
      <c r="J801" s="75"/>
    </row>
    <row r="802">
      <c r="G802" s="75"/>
      <c r="H802" s="75"/>
      <c r="I802" s="75"/>
      <c r="J802" s="75"/>
    </row>
    <row r="803">
      <c r="G803" s="75"/>
      <c r="H803" s="75"/>
      <c r="I803" s="75"/>
      <c r="J803" s="75"/>
    </row>
    <row r="804">
      <c r="G804" s="75"/>
      <c r="H804" s="75"/>
      <c r="I804" s="75"/>
      <c r="J804" s="75"/>
    </row>
    <row r="805">
      <c r="G805" s="75"/>
      <c r="H805" s="75"/>
      <c r="I805" s="75"/>
      <c r="J805" s="75"/>
    </row>
    <row r="806">
      <c r="G806" s="75"/>
      <c r="H806" s="75"/>
      <c r="I806" s="75"/>
      <c r="J806" s="75"/>
    </row>
    <row r="807">
      <c r="G807" s="75"/>
      <c r="H807" s="75"/>
      <c r="I807" s="75"/>
      <c r="J807" s="75"/>
    </row>
    <row r="808">
      <c r="G808" s="75"/>
      <c r="H808" s="75"/>
      <c r="I808" s="75"/>
      <c r="J808" s="75"/>
    </row>
    <row r="809">
      <c r="G809" s="75"/>
      <c r="H809" s="75"/>
      <c r="I809" s="75"/>
      <c r="J809" s="75"/>
    </row>
    <row r="810">
      <c r="G810" s="75"/>
      <c r="H810" s="75"/>
      <c r="I810" s="75"/>
      <c r="J810" s="75"/>
    </row>
    <row r="811">
      <c r="G811" s="75"/>
      <c r="H811" s="75"/>
      <c r="I811" s="75"/>
      <c r="J811" s="75"/>
    </row>
    <row r="812">
      <c r="G812" s="75"/>
      <c r="H812" s="75"/>
      <c r="I812" s="75"/>
      <c r="J812" s="75"/>
    </row>
    <row r="813">
      <c r="G813" s="75"/>
      <c r="H813" s="75"/>
      <c r="I813" s="75"/>
      <c r="J813" s="75"/>
    </row>
    <row r="814">
      <c r="G814" s="75"/>
      <c r="H814" s="75"/>
      <c r="I814" s="75"/>
      <c r="J814" s="75"/>
    </row>
    <row r="815">
      <c r="G815" s="75"/>
      <c r="H815" s="75"/>
      <c r="I815" s="75"/>
      <c r="J815" s="75"/>
    </row>
    <row r="816">
      <c r="G816" s="75"/>
      <c r="H816" s="75"/>
      <c r="I816" s="75"/>
      <c r="J816" s="75"/>
    </row>
    <row r="817">
      <c r="G817" s="75"/>
      <c r="H817" s="75"/>
      <c r="I817" s="75"/>
      <c r="J817" s="75"/>
    </row>
    <row r="818">
      <c r="G818" s="75"/>
      <c r="H818" s="75"/>
      <c r="I818" s="75"/>
      <c r="J818" s="75"/>
    </row>
    <row r="819">
      <c r="G819" s="75"/>
      <c r="H819" s="75"/>
      <c r="I819" s="75"/>
      <c r="J819" s="75"/>
    </row>
    <row r="820">
      <c r="G820" s="75"/>
      <c r="H820" s="75"/>
      <c r="I820" s="75"/>
      <c r="J820" s="75"/>
    </row>
    <row r="821">
      <c r="G821" s="75"/>
      <c r="H821" s="75"/>
      <c r="I821" s="75"/>
      <c r="J821" s="75"/>
    </row>
    <row r="822">
      <c r="G822" s="75"/>
      <c r="H822" s="75"/>
      <c r="I822" s="75"/>
      <c r="J822" s="75"/>
    </row>
    <row r="823">
      <c r="G823" s="75"/>
      <c r="H823" s="75"/>
      <c r="I823" s="75"/>
      <c r="J823" s="75"/>
    </row>
    <row r="824">
      <c r="G824" s="75"/>
      <c r="H824" s="75"/>
      <c r="I824" s="75"/>
      <c r="J824" s="75"/>
    </row>
    <row r="825">
      <c r="G825" s="75"/>
      <c r="H825" s="75"/>
      <c r="I825" s="75"/>
      <c r="J825" s="75"/>
    </row>
    <row r="826">
      <c r="G826" s="75"/>
      <c r="H826" s="75"/>
      <c r="I826" s="75"/>
      <c r="J826" s="75"/>
    </row>
    <row r="827">
      <c r="G827" s="75"/>
      <c r="H827" s="75"/>
      <c r="I827" s="75"/>
      <c r="J827" s="75"/>
    </row>
    <row r="828">
      <c r="G828" s="75"/>
      <c r="H828" s="75"/>
      <c r="I828" s="75"/>
      <c r="J828" s="75"/>
    </row>
    <row r="829">
      <c r="G829" s="75"/>
      <c r="H829" s="75"/>
      <c r="I829" s="75"/>
      <c r="J829" s="75"/>
    </row>
    <row r="830">
      <c r="G830" s="75"/>
      <c r="H830" s="75"/>
      <c r="I830" s="75"/>
      <c r="J830" s="75"/>
    </row>
    <row r="831">
      <c r="G831" s="75"/>
      <c r="H831" s="75"/>
      <c r="I831" s="75"/>
      <c r="J831" s="75"/>
    </row>
    <row r="832">
      <c r="G832" s="75"/>
      <c r="H832" s="75"/>
      <c r="I832" s="75"/>
      <c r="J832" s="75"/>
    </row>
    <row r="833">
      <c r="G833" s="75"/>
      <c r="H833" s="75"/>
      <c r="I833" s="75"/>
      <c r="J833" s="75"/>
    </row>
    <row r="834">
      <c r="G834" s="75"/>
      <c r="H834" s="75"/>
      <c r="I834" s="75"/>
      <c r="J834" s="75"/>
    </row>
    <row r="835">
      <c r="G835" s="75"/>
      <c r="H835" s="75"/>
      <c r="I835" s="75"/>
      <c r="J835" s="75"/>
    </row>
    <row r="836">
      <c r="G836" s="75"/>
      <c r="H836" s="75"/>
      <c r="I836" s="75"/>
      <c r="J836" s="75"/>
    </row>
    <row r="837">
      <c r="G837" s="75"/>
      <c r="H837" s="75"/>
      <c r="I837" s="75"/>
      <c r="J837" s="75"/>
    </row>
    <row r="838">
      <c r="G838" s="75"/>
      <c r="H838" s="75"/>
      <c r="I838" s="75"/>
      <c r="J838" s="75"/>
    </row>
    <row r="839">
      <c r="G839" s="75"/>
      <c r="H839" s="75"/>
      <c r="I839" s="75"/>
      <c r="J839" s="75"/>
    </row>
    <row r="840">
      <c r="G840" s="75"/>
      <c r="H840" s="75"/>
      <c r="I840" s="75"/>
      <c r="J840" s="75"/>
    </row>
    <row r="841">
      <c r="G841" s="75"/>
      <c r="H841" s="75"/>
      <c r="I841" s="75"/>
      <c r="J841" s="75"/>
    </row>
    <row r="842">
      <c r="G842" s="75"/>
      <c r="H842" s="75"/>
      <c r="I842" s="75"/>
      <c r="J842" s="75"/>
    </row>
    <row r="843">
      <c r="G843" s="75"/>
      <c r="H843" s="75"/>
      <c r="I843" s="75"/>
      <c r="J843" s="75"/>
    </row>
    <row r="844">
      <c r="G844" s="75"/>
      <c r="H844" s="75"/>
      <c r="I844" s="75"/>
      <c r="J844" s="75"/>
    </row>
    <row r="845">
      <c r="G845" s="75"/>
      <c r="H845" s="75"/>
      <c r="I845" s="75"/>
      <c r="J845" s="75"/>
    </row>
    <row r="846">
      <c r="G846" s="75"/>
      <c r="H846" s="75"/>
      <c r="I846" s="75"/>
      <c r="J846" s="75"/>
    </row>
    <row r="847">
      <c r="G847" s="75"/>
      <c r="H847" s="75"/>
      <c r="I847" s="75"/>
      <c r="J847" s="75"/>
    </row>
    <row r="848">
      <c r="G848" s="75"/>
      <c r="H848" s="75"/>
      <c r="I848" s="75"/>
      <c r="J848" s="75"/>
    </row>
    <row r="849">
      <c r="G849" s="75"/>
      <c r="H849" s="75"/>
      <c r="I849" s="75"/>
      <c r="J849" s="75"/>
    </row>
    <row r="850">
      <c r="G850" s="75"/>
      <c r="H850" s="75"/>
      <c r="I850" s="75"/>
      <c r="J850" s="75"/>
    </row>
    <row r="851">
      <c r="G851" s="75"/>
      <c r="H851" s="75"/>
      <c r="I851" s="75"/>
      <c r="J851" s="75"/>
    </row>
    <row r="852">
      <c r="G852" s="75"/>
      <c r="H852" s="75"/>
      <c r="I852" s="75"/>
      <c r="J852" s="75"/>
    </row>
    <row r="853">
      <c r="G853" s="75"/>
      <c r="H853" s="75"/>
      <c r="I853" s="75"/>
      <c r="J853" s="75"/>
    </row>
    <row r="854">
      <c r="G854" s="75"/>
      <c r="H854" s="75"/>
      <c r="I854" s="75"/>
      <c r="J854" s="75"/>
    </row>
    <row r="855">
      <c r="G855" s="75"/>
      <c r="H855" s="75"/>
      <c r="I855" s="75"/>
      <c r="J855" s="75"/>
    </row>
    <row r="856">
      <c r="G856" s="75"/>
      <c r="H856" s="75"/>
      <c r="I856" s="75"/>
      <c r="J856" s="75"/>
    </row>
    <row r="857">
      <c r="G857" s="75"/>
      <c r="H857" s="75"/>
      <c r="I857" s="75"/>
      <c r="J857" s="75"/>
    </row>
    <row r="858">
      <c r="G858" s="75"/>
      <c r="H858" s="75"/>
      <c r="I858" s="75"/>
      <c r="J858" s="75"/>
    </row>
    <row r="859">
      <c r="G859" s="75"/>
      <c r="H859" s="75"/>
      <c r="I859" s="75"/>
      <c r="J859" s="75"/>
    </row>
    <row r="860">
      <c r="G860" s="75"/>
      <c r="H860" s="75"/>
      <c r="I860" s="75"/>
      <c r="J860" s="75"/>
    </row>
    <row r="861">
      <c r="G861" s="75"/>
      <c r="H861" s="75"/>
      <c r="I861" s="75"/>
      <c r="J861" s="75"/>
    </row>
    <row r="862">
      <c r="G862" s="75"/>
      <c r="H862" s="75"/>
      <c r="I862" s="75"/>
      <c r="J862" s="75"/>
    </row>
    <row r="863">
      <c r="G863" s="75"/>
      <c r="H863" s="75"/>
      <c r="I863" s="75"/>
      <c r="J863" s="75"/>
    </row>
    <row r="864">
      <c r="G864" s="75"/>
      <c r="H864" s="75"/>
      <c r="I864" s="75"/>
      <c r="J864" s="75"/>
    </row>
    <row r="865">
      <c r="G865" s="75"/>
      <c r="H865" s="75"/>
      <c r="I865" s="75"/>
      <c r="J865" s="75"/>
    </row>
    <row r="866">
      <c r="G866" s="75"/>
      <c r="H866" s="75"/>
      <c r="I866" s="75"/>
      <c r="J866" s="75"/>
    </row>
    <row r="867">
      <c r="G867" s="75"/>
      <c r="H867" s="75"/>
      <c r="I867" s="75"/>
      <c r="J867" s="75"/>
    </row>
    <row r="868">
      <c r="G868" s="75"/>
      <c r="H868" s="75"/>
      <c r="I868" s="75"/>
      <c r="J868" s="75"/>
    </row>
    <row r="869">
      <c r="G869" s="75"/>
      <c r="H869" s="75"/>
      <c r="I869" s="75"/>
      <c r="J869" s="75"/>
    </row>
    <row r="870">
      <c r="G870" s="75"/>
      <c r="H870" s="75"/>
      <c r="I870" s="75"/>
      <c r="J870" s="75"/>
    </row>
    <row r="871">
      <c r="G871" s="75"/>
      <c r="H871" s="75"/>
      <c r="I871" s="75"/>
      <c r="J871" s="75"/>
    </row>
    <row r="872">
      <c r="G872" s="75"/>
      <c r="H872" s="75"/>
      <c r="I872" s="75"/>
      <c r="J872" s="75"/>
    </row>
    <row r="873">
      <c r="G873" s="75"/>
      <c r="H873" s="75"/>
      <c r="I873" s="75"/>
      <c r="J873" s="75"/>
    </row>
    <row r="874">
      <c r="G874" s="75"/>
      <c r="H874" s="75"/>
      <c r="I874" s="75"/>
      <c r="J874" s="75"/>
    </row>
    <row r="875">
      <c r="G875" s="75"/>
      <c r="H875" s="75"/>
      <c r="I875" s="75"/>
      <c r="J875" s="75"/>
    </row>
    <row r="876">
      <c r="G876" s="75"/>
      <c r="H876" s="75"/>
      <c r="I876" s="75"/>
      <c r="J876" s="75"/>
    </row>
    <row r="877">
      <c r="G877" s="75"/>
      <c r="H877" s="75"/>
      <c r="I877" s="75"/>
      <c r="J877" s="75"/>
    </row>
    <row r="878">
      <c r="G878" s="75"/>
      <c r="H878" s="75"/>
      <c r="I878" s="75"/>
      <c r="J878" s="75"/>
    </row>
    <row r="879">
      <c r="G879" s="75"/>
      <c r="H879" s="75"/>
      <c r="I879" s="75"/>
      <c r="J879" s="75"/>
    </row>
    <row r="880">
      <c r="G880" s="75"/>
      <c r="H880" s="75"/>
      <c r="I880" s="75"/>
      <c r="J880" s="75"/>
    </row>
    <row r="881">
      <c r="G881" s="75"/>
      <c r="H881" s="75"/>
      <c r="I881" s="75"/>
      <c r="J881" s="75"/>
    </row>
    <row r="882">
      <c r="G882" s="75"/>
      <c r="H882" s="75"/>
      <c r="I882" s="75"/>
      <c r="J882" s="75"/>
    </row>
    <row r="883">
      <c r="G883" s="75"/>
      <c r="H883" s="75"/>
      <c r="I883" s="75"/>
      <c r="J883" s="75"/>
    </row>
    <row r="884">
      <c r="G884" s="75"/>
      <c r="H884" s="75"/>
      <c r="I884" s="75"/>
      <c r="J884" s="75"/>
    </row>
    <row r="885">
      <c r="G885" s="75"/>
      <c r="H885" s="75"/>
      <c r="I885" s="75"/>
      <c r="J885" s="75"/>
    </row>
    <row r="886">
      <c r="G886" s="75"/>
      <c r="H886" s="75"/>
      <c r="I886" s="75"/>
      <c r="J886" s="75"/>
    </row>
    <row r="887">
      <c r="G887" s="75"/>
      <c r="H887" s="75"/>
      <c r="I887" s="75"/>
      <c r="J887" s="75"/>
    </row>
    <row r="888">
      <c r="G888" s="75"/>
      <c r="H888" s="75"/>
      <c r="I888" s="75"/>
      <c r="J888" s="75"/>
    </row>
    <row r="889">
      <c r="G889" s="75"/>
      <c r="H889" s="75"/>
      <c r="I889" s="75"/>
      <c r="J889" s="75"/>
    </row>
    <row r="890">
      <c r="G890" s="75"/>
      <c r="H890" s="75"/>
      <c r="I890" s="75"/>
      <c r="J890" s="75"/>
    </row>
    <row r="891">
      <c r="G891" s="75"/>
      <c r="H891" s="75"/>
      <c r="I891" s="75"/>
      <c r="J891" s="75"/>
    </row>
    <row r="892">
      <c r="G892" s="75"/>
      <c r="H892" s="75"/>
      <c r="I892" s="75"/>
      <c r="J892" s="75"/>
    </row>
    <row r="893">
      <c r="G893" s="75"/>
      <c r="H893" s="75"/>
      <c r="I893" s="75"/>
      <c r="J893" s="75"/>
    </row>
    <row r="894">
      <c r="G894" s="75"/>
      <c r="H894" s="75"/>
      <c r="I894" s="75"/>
      <c r="J894" s="75"/>
    </row>
    <row r="895">
      <c r="G895" s="75"/>
      <c r="H895" s="75"/>
      <c r="I895" s="75"/>
      <c r="J895" s="75"/>
    </row>
    <row r="896">
      <c r="G896" s="75"/>
      <c r="H896" s="75"/>
      <c r="I896" s="75"/>
      <c r="J896" s="75"/>
    </row>
    <row r="897">
      <c r="G897" s="75"/>
      <c r="H897" s="75"/>
      <c r="I897" s="75"/>
      <c r="J897" s="75"/>
    </row>
    <row r="898">
      <c r="G898" s="75"/>
      <c r="H898" s="75"/>
      <c r="I898" s="75"/>
      <c r="J898" s="75"/>
    </row>
    <row r="899">
      <c r="G899" s="75"/>
      <c r="H899" s="75"/>
      <c r="I899" s="75"/>
      <c r="J899" s="75"/>
    </row>
    <row r="900">
      <c r="G900" s="75"/>
      <c r="H900" s="75"/>
      <c r="I900" s="75"/>
      <c r="J900" s="75"/>
    </row>
    <row r="901">
      <c r="G901" s="75"/>
      <c r="H901" s="75"/>
      <c r="I901" s="75"/>
      <c r="J901" s="75"/>
    </row>
    <row r="902">
      <c r="G902" s="75"/>
      <c r="H902" s="75"/>
      <c r="I902" s="75"/>
      <c r="J902" s="75"/>
    </row>
    <row r="903">
      <c r="G903" s="75"/>
      <c r="H903" s="75"/>
      <c r="I903" s="75"/>
      <c r="J903" s="75"/>
    </row>
    <row r="904">
      <c r="G904" s="75"/>
      <c r="H904" s="75"/>
      <c r="I904" s="75"/>
      <c r="J904" s="75"/>
    </row>
    <row r="905">
      <c r="G905" s="75"/>
      <c r="H905" s="75"/>
      <c r="I905" s="75"/>
      <c r="J905" s="75"/>
    </row>
    <row r="906">
      <c r="G906" s="75"/>
      <c r="H906" s="75"/>
      <c r="I906" s="75"/>
      <c r="J906" s="75"/>
    </row>
    <row r="907">
      <c r="G907" s="75"/>
      <c r="H907" s="75"/>
      <c r="I907" s="75"/>
      <c r="J907" s="75"/>
    </row>
    <row r="908">
      <c r="G908" s="75"/>
      <c r="H908" s="75"/>
      <c r="I908" s="75"/>
      <c r="J908" s="75"/>
    </row>
    <row r="909">
      <c r="G909" s="75"/>
      <c r="H909" s="75"/>
      <c r="I909" s="75"/>
      <c r="J909" s="75"/>
    </row>
    <row r="910">
      <c r="G910" s="75"/>
      <c r="H910" s="75"/>
      <c r="I910" s="75"/>
      <c r="J910" s="75"/>
    </row>
    <row r="911">
      <c r="G911" s="75"/>
      <c r="H911" s="75"/>
      <c r="I911" s="75"/>
      <c r="J911" s="75"/>
    </row>
    <row r="912">
      <c r="G912" s="75"/>
      <c r="H912" s="75"/>
      <c r="I912" s="75"/>
      <c r="J912" s="75"/>
    </row>
    <row r="913">
      <c r="G913" s="75"/>
      <c r="H913" s="75"/>
      <c r="I913" s="75"/>
      <c r="J913" s="75"/>
    </row>
    <row r="914">
      <c r="G914" s="75"/>
      <c r="H914" s="75"/>
      <c r="I914" s="75"/>
      <c r="J914" s="75"/>
    </row>
    <row r="915">
      <c r="G915" s="75"/>
      <c r="H915" s="75"/>
      <c r="I915" s="75"/>
      <c r="J915" s="75"/>
    </row>
    <row r="916">
      <c r="G916" s="75"/>
      <c r="H916" s="75"/>
      <c r="I916" s="75"/>
      <c r="J916" s="75"/>
    </row>
    <row r="917">
      <c r="G917" s="75"/>
      <c r="H917" s="75"/>
      <c r="I917" s="75"/>
      <c r="J917" s="75"/>
    </row>
    <row r="918">
      <c r="G918" s="75"/>
      <c r="H918" s="75"/>
      <c r="I918" s="75"/>
      <c r="J918" s="75"/>
    </row>
    <row r="919">
      <c r="G919" s="75"/>
      <c r="H919" s="75"/>
      <c r="I919" s="75"/>
      <c r="J919" s="75"/>
    </row>
    <row r="920">
      <c r="G920" s="75"/>
      <c r="H920" s="75"/>
      <c r="I920" s="75"/>
      <c r="J920" s="75"/>
    </row>
    <row r="921">
      <c r="G921" s="75"/>
      <c r="H921" s="75"/>
      <c r="I921" s="75"/>
      <c r="J921" s="75"/>
    </row>
    <row r="922">
      <c r="G922" s="75"/>
      <c r="H922" s="75"/>
      <c r="I922" s="75"/>
      <c r="J922" s="75"/>
    </row>
    <row r="923">
      <c r="G923" s="75"/>
      <c r="H923" s="75"/>
      <c r="I923" s="75"/>
      <c r="J923" s="75"/>
    </row>
    <row r="924">
      <c r="G924" s="75"/>
      <c r="H924" s="75"/>
      <c r="I924" s="75"/>
      <c r="J924" s="75"/>
    </row>
    <row r="925">
      <c r="G925" s="75"/>
      <c r="H925" s="75"/>
      <c r="I925" s="75"/>
      <c r="J925" s="75"/>
    </row>
    <row r="926">
      <c r="G926" s="75"/>
      <c r="H926" s="75"/>
      <c r="I926" s="75"/>
      <c r="J926" s="75"/>
    </row>
    <row r="927">
      <c r="G927" s="75"/>
      <c r="H927" s="75"/>
      <c r="I927" s="75"/>
      <c r="J927" s="75"/>
    </row>
    <row r="928">
      <c r="G928" s="75"/>
      <c r="H928" s="75"/>
      <c r="I928" s="75"/>
      <c r="J928" s="75"/>
    </row>
    <row r="929">
      <c r="G929" s="75"/>
      <c r="H929" s="75"/>
      <c r="I929" s="75"/>
      <c r="J929" s="75"/>
    </row>
    <row r="930">
      <c r="G930" s="75"/>
      <c r="H930" s="75"/>
      <c r="I930" s="75"/>
      <c r="J930" s="75"/>
    </row>
    <row r="931">
      <c r="G931" s="75"/>
      <c r="H931" s="75"/>
      <c r="I931" s="75"/>
      <c r="J931" s="75"/>
    </row>
    <row r="932">
      <c r="G932" s="75"/>
      <c r="H932" s="75"/>
      <c r="I932" s="75"/>
      <c r="J932" s="75"/>
    </row>
    <row r="933">
      <c r="G933" s="75"/>
      <c r="H933" s="75"/>
      <c r="I933" s="75"/>
      <c r="J933" s="75"/>
    </row>
    <row r="934">
      <c r="G934" s="75"/>
      <c r="H934" s="75"/>
      <c r="I934" s="75"/>
      <c r="J934" s="75"/>
    </row>
    <row r="935">
      <c r="G935" s="75"/>
      <c r="H935" s="75"/>
      <c r="I935" s="75"/>
      <c r="J935" s="75"/>
    </row>
    <row r="936">
      <c r="G936" s="75"/>
      <c r="H936" s="75"/>
      <c r="I936" s="75"/>
      <c r="J936" s="75"/>
    </row>
    <row r="937">
      <c r="G937" s="75"/>
      <c r="H937" s="75"/>
      <c r="I937" s="75"/>
      <c r="J937" s="75"/>
    </row>
    <row r="938">
      <c r="G938" s="75"/>
      <c r="H938" s="75"/>
      <c r="I938" s="75"/>
      <c r="J938" s="75"/>
    </row>
    <row r="939">
      <c r="G939" s="75"/>
      <c r="H939" s="75"/>
      <c r="I939" s="75"/>
      <c r="J939" s="75"/>
    </row>
    <row r="940">
      <c r="G940" s="75"/>
      <c r="H940" s="75"/>
      <c r="I940" s="75"/>
      <c r="J940" s="75"/>
    </row>
    <row r="941">
      <c r="G941" s="75"/>
      <c r="H941" s="75"/>
      <c r="I941" s="75"/>
      <c r="J941" s="75"/>
    </row>
    <row r="942">
      <c r="G942" s="75"/>
      <c r="H942" s="75"/>
      <c r="I942" s="75"/>
      <c r="J942" s="75"/>
    </row>
    <row r="943">
      <c r="G943" s="75"/>
      <c r="H943" s="75"/>
      <c r="I943" s="75"/>
      <c r="J943" s="75"/>
    </row>
    <row r="944">
      <c r="G944" s="75"/>
      <c r="H944" s="75"/>
      <c r="I944" s="75"/>
      <c r="J944" s="75"/>
    </row>
    <row r="945">
      <c r="G945" s="75"/>
      <c r="H945" s="75"/>
      <c r="I945" s="75"/>
      <c r="J945" s="75"/>
    </row>
    <row r="946">
      <c r="G946" s="75"/>
      <c r="H946" s="75"/>
      <c r="I946" s="75"/>
      <c r="J946" s="75"/>
    </row>
    <row r="947">
      <c r="G947" s="75"/>
      <c r="H947" s="75"/>
      <c r="I947" s="75"/>
      <c r="J947" s="75"/>
    </row>
    <row r="948">
      <c r="G948" s="75"/>
      <c r="H948" s="75"/>
      <c r="I948" s="75"/>
      <c r="J948" s="75"/>
    </row>
    <row r="949">
      <c r="G949" s="75"/>
      <c r="H949" s="75"/>
      <c r="I949" s="75"/>
      <c r="J949" s="75"/>
    </row>
    <row r="950">
      <c r="G950" s="75"/>
      <c r="H950" s="75"/>
      <c r="I950" s="75"/>
      <c r="J950" s="75"/>
    </row>
    <row r="951">
      <c r="G951" s="75"/>
      <c r="H951" s="75"/>
      <c r="I951" s="75"/>
      <c r="J951" s="75"/>
    </row>
    <row r="952">
      <c r="G952" s="75"/>
      <c r="H952" s="75"/>
      <c r="I952" s="75"/>
      <c r="J952" s="75"/>
    </row>
    <row r="953">
      <c r="G953" s="75"/>
      <c r="H953" s="75"/>
      <c r="I953" s="75"/>
      <c r="J953" s="75"/>
    </row>
    <row r="954">
      <c r="G954" s="75"/>
      <c r="H954" s="75"/>
      <c r="I954" s="75"/>
      <c r="J954" s="75"/>
    </row>
    <row r="955">
      <c r="G955" s="75"/>
      <c r="H955" s="75"/>
      <c r="I955" s="75"/>
      <c r="J955" s="75"/>
    </row>
    <row r="956">
      <c r="G956" s="75"/>
      <c r="H956" s="75"/>
      <c r="I956" s="75"/>
      <c r="J956" s="75"/>
    </row>
    <row r="957">
      <c r="G957" s="75"/>
      <c r="H957" s="75"/>
      <c r="I957" s="75"/>
      <c r="J957" s="75"/>
    </row>
    <row r="958">
      <c r="G958" s="75"/>
      <c r="H958" s="75"/>
      <c r="I958" s="75"/>
      <c r="J958" s="75"/>
    </row>
    <row r="959">
      <c r="G959" s="75"/>
      <c r="H959" s="75"/>
      <c r="I959" s="75"/>
      <c r="J959" s="75"/>
    </row>
    <row r="960">
      <c r="G960" s="75"/>
      <c r="H960" s="75"/>
      <c r="I960" s="75"/>
      <c r="J960" s="75"/>
    </row>
    <row r="961">
      <c r="G961" s="75"/>
      <c r="H961" s="75"/>
      <c r="I961" s="75"/>
      <c r="J961" s="75"/>
    </row>
    <row r="962">
      <c r="G962" s="75"/>
      <c r="H962" s="75"/>
      <c r="I962" s="75"/>
      <c r="J962" s="75"/>
    </row>
    <row r="963">
      <c r="G963" s="75"/>
      <c r="H963" s="75"/>
      <c r="I963" s="75"/>
      <c r="J963" s="75"/>
    </row>
    <row r="964">
      <c r="G964" s="75"/>
      <c r="H964" s="75"/>
      <c r="I964" s="75"/>
      <c r="J964" s="75"/>
    </row>
    <row r="965">
      <c r="G965" s="75"/>
      <c r="H965" s="75"/>
      <c r="I965" s="75"/>
      <c r="J965" s="75"/>
    </row>
    <row r="966">
      <c r="G966" s="75"/>
      <c r="H966" s="75"/>
      <c r="I966" s="75"/>
      <c r="J966" s="75"/>
    </row>
    <row r="967">
      <c r="G967" s="75"/>
      <c r="H967" s="75"/>
      <c r="I967" s="75"/>
      <c r="J967" s="75"/>
    </row>
    <row r="968">
      <c r="G968" s="75"/>
      <c r="H968" s="75"/>
      <c r="I968" s="75"/>
      <c r="J968" s="75"/>
    </row>
    <row r="969">
      <c r="G969" s="75"/>
      <c r="H969" s="75"/>
      <c r="I969" s="75"/>
      <c r="J969" s="75"/>
    </row>
    <row r="970">
      <c r="G970" s="75"/>
      <c r="H970" s="75"/>
      <c r="I970" s="75"/>
      <c r="J970" s="75"/>
    </row>
    <row r="971">
      <c r="G971" s="75"/>
      <c r="H971" s="75"/>
      <c r="I971" s="75"/>
      <c r="J971" s="75"/>
    </row>
    <row r="972">
      <c r="G972" s="75"/>
      <c r="H972" s="75"/>
      <c r="I972" s="75"/>
      <c r="J972" s="75"/>
    </row>
    <row r="973">
      <c r="G973" s="75"/>
      <c r="H973" s="75"/>
      <c r="I973" s="75"/>
      <c r="J973" s="75"/>
    </row>
    <row r="974">
      <c r="G974" s="75"/>
      <c r="H974" s="75"/>
      <c r="I974" s="75"/>
      <c r="J974" s="75"/>
    </row>
    <row r="975">
      <c r="G975" s="75"/>
      <c r="H975" s="75"/>
      <c r="I975" s="75"/>
      <c r="J975" s="75"/>
    </row>
    <row r="976">
      <c r="G976" s="75"/>
      <c r="H976" s="75"/>
      <c r="I976" s="75"/>
      <c r="J976" s="75"/>
    </row>
    <row r="977">
      <c r="G977" s="75"/>
      <c r="H977" s="75"/>
      <c r="I977" s="75"/>
      <c r="J977" s="75"/>
    </row>
    <row r="978">
      <c r="G978" s="75"/>
      <c r="H978" s="75"/>
      <c r="I978" s="75"/>
      <c r="J978" s="75"/>
    </row>
    <row r="979">
      <c r="G979" s="75"/>
      <c r="H979" s="75"/>
      <c r="I979" s="75"/>
      <c r="J979" s="75"/>
    </row>
    <row r="980">
      <c r="G980" s="75"/>
      <c r="H980" s="75"/>
      <c r="I980" s="75"/>
      <c r="J980" s="75"/>
    </row>
    <row r="981">
      <c r="G981" s="75"/>
      <c r="H981" s="75"/>
      <c r="I981" s="75"/>
      <c r="J981" s="75"/>
    </row>
    <row r="982">
      <c r="G982" s="75"/>
      <c r="H982" s="75"/>
      <c r="I982" s="75"/>
      <c r="J982" s="75"/>
    </row>
    <row r="983">
      <c r="G983" s="75"/>
      <c r="H983" s="75"/>
      <c r="I983" s="75"/>
      <c r="J983" s="75"/>
    </row>
    <row r="984">
      <c r="G984" s="75"/>
      <c r="H984" s="75"/>
      <c r="I984" s="75"/>
      <c r="J984" s="75"/>
    </row>
    <row r="985">
      <c r="G985" s="75"/>
      <c r="H985" s="75"/>
      <c r="I985" s="75"/>
      <c r="J985" s="75"/>
    </row>
    <row r="986">
      <c r="G986" s="75"/>
      <c r="H986" s="75"/>
      <c r="I986" s="75"/>
      <c r="J986" s="75"/>
    </row>
    <row r="987">
      <c r="G987" s="75"/>
      <c r="H987" s="75"/>
      <c r="I987" s="75"/>
      <c r="J987" s="75"/>
    </row>
    <row r="988">
      <c r="G988" s="75"/>
      <c r="H988" s="75"/>
      <c r="I988" s="75"/>
      <c r="J988" s="75"/>
    </row>
    <row r="989">
      <c r="G989" s="75"/>
      <c r="H989" s="75"/>
      <c r="I989" s="75"/>
      <c r="J989" s="75"/>
    </row>
    <row r="990">
      <c r="G990" s="75"/>
      <c r="H990" s="75"/>
      <c r="I990" s="75"/>
      <c r="J990" s="75"/>
    </row>
    <row r="991">
      <c r="G991" s="75"/>
      <c r="H991" s="75"/>
      <c r="I991" s="75"/>
      <c r="J991" s="75"/>
    </row>
  </sheetData>
  <autoFilter ref="$A$1:$K$60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0" width="12.63"/>
    <col customWidth="1" hidden="1" min="14" max="14" width="13.88"/>
    <col customWidth="1" hidden="1" min="15" max="15" width="11.88"/>
    <col customWidth="1" hidden="1" min="16" max="16" width="14.25"/>
    <col customWidth="1" hidden="1" min="17" max="17" width="16.63"/>
    <col customWidth="1" hidden="1" min="18" max="18" width="13.88"/>
    <col customWidth="1" hidden="1" min="19" max="19" width="12.88"/>
    <col customWidth="1" hidden="1" min="20" max="20" width="14.75"/>
    <col customWidth="1" min="21" max="21" width="7.75"/>
    <col customWidth="1" min="22" max="22" width="10.0"/>
    <col customWidth="1" min="23" max="23" width="19.25"/>
    <col customWidth="1" min="24" max="24" width="18.5"/>
    <col customWidth="1" min="25" max="25" width="18.63"/>
    <col customWidth="1" min="26" max="26" width="20.75"/>
  </cols>
  <sheetData>
    <row r="1">
      <c r="B1" s="1" t="s">
        <v>0</v>
      </c>
      <c r="C1" s="2"/>
      <c r="D1" s="2"/>
      <c r="E1" s="2"/>
      <c r="F1" s="2"/>
      <c r="G1" s="2"/>
      <c r="H1" s="3"/>
      <c r="AA1" s="76"/>
    </row>
    <row r="2" ht="44.25" customHeight="1"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N2" s="77" t="s">
        <v>1731</v>
      </c>
      <c r="O2" s="2"/>
      <c r="P2" s="2"/>
      <c r="Q2" s="2"/>
      <c r="R2" s="2"/>
      <c r="S2" s="2"/>
      <c r="T2" s="3"/>
      <c r="W2" s="78" t="s">
        <v>1732</v>
      </c>
      <c r="X2" s="2"/>
      <c r="Y2" s="2"/>
      <c r="Z2" s="2"/>
      <c r="AA2" s="3"/>
    </row>
    <row r="3">
      <c r="B3" s="6" t="s">
        <v>8</v>
      </c>
      <c r="C3" s="7" t="s">
        <v>9</v>
      </c>
      <c r="D3" s="7" t="s">
        <v>10</v>
      </c>
      <c r="E3" s="8">
        <v>5.0</v>
      </c>
      <c r="F3" s="8">
        <f t="shared" ref="F3:H3" si="1">X14</f>
        <v>922</v>
      </c>
      <c r="G3" s="8">
        <f t="shared" si="1"/>
        <v>18</v>
      </c>
      <c r="H3" s="8">
        <f t="shared" si="1"/>
        <v>128</v>
      </c>
      <c r="K3" s="79" t="s">
        <v>1</v>
      </c>
      <c r="L3" s="79" t="s">
        <v>3</v>
      </c>
      <c r="M3" s="79" t="s">
        <v>1733</v>
      </c>
      <c r="N3" s="80" t="s">
        <v>1</v>
      </c>
      <c r="O3" s="81" t="s">
        <v>2</v>
      </c>
      <c r="P3" s="81" t="s">
        <v>3</v>
      </c>
      <c r="Q3" s="82" t="s">
        <v>1734</v>
      </c>
      <c r="R3" s="83" t="s">
        <v>1735</v>
      </c>
      <c r="S3" s="83" t="s">
        <v>1736</v>
      </c>
      <c r="T3" s="83" t="s">
        <v>1737</v>
      </c>
    </row>
    <row r="4">
      <c r="B4" s="11"/>
      <c r="C4" s="7" t="s">
        <v>14</v>
      </c>
      <c r="D4" s="7" t="s">
        <v>15</v>
      </c>
      <c r="E4" s="8">
        <v>4.0</v>
      </c>
      <c r="F4" s="8">
        <f t="shared" ref="F4:H4" si="2">X13</f>
        <v>632</v>
      </c>
      <c r="G4" s="8">
        <f t="shared" si="2"/>
        <v>69</v>
      </c>
      <c r="H4" s="8">
        <f t="shared" si="2"/>
        <v>100</v>
      </c>
      <c r="K4" s="21" t="s">
        <v>16</v>
      </c>
      <c r="L4" s="21" t="s">
        <v>33</v>
      </c>
      <c r="M4" s="75">
        <v>1.0</v>
      </c>
      <c r="N4" s="87" t="s">
        <v>17</v>
      </c>
      <c r="O4" s="88" t="s">
        <v>9</v>
      </c>
      <c r="P4" s="89" t="s">
        <v>10</v>
      </c>
      <c r="Q4" s="90">
        <f>M11*100</f>
        <v>1100</v>
      </c>
      <c r="R4" s="90">
        <f t="shared" ref="R4:R7" si="4">200*E3</f>
        <v>1000</v>
      </c>
      <c r="S4" s="91">
        <f>(Z14/Q4)</f>
        <v>0.1163636364</v>
      </c>
      <c r="T4" s="91">
        <f>Y14/R4</f>
        <v>0.018</v>
      </c>
    </row>
    <row r="5">
      <c r="B5" s="11"/>
      <c r="C5" s="7" t="s">
        <v>17</v>
      </c>
      <c r="D5" s="7" t="s">
        <v>18</v>
      </c>
      <c r="E5" s="8">
        <v>6.0</v>
      </c>
      <c r="F5" s="8">
        <f t="shared" ref="F5:H5" si="3">X11</f>
        <v>1756</v>
      </c>
      <c r="G5" s="8">
        <f t="shared" si="3"/>
        <v>327.5818182</v>
      </c>
      <c r="H5" s="8">
        <f t="shared" si="3"/>
        <v>236.7090909</v>
      </c>
      <c r="K5" s="21"/>
      <c r="L5" s="21" t="s">
        <v>35</v>
      </c>
      <c r="M5" s="75">
        <v>1.0</v>
      </c>
      <c r="N5" s="11"/>
      <c r="O5" s="88" t="s">
        <v>14</v>
      </c>
      <c r="P5" s="89" t="s">
        <v>15</v>
      </c>
      <c r="Q5" s="90">
        <f>M10*100</f>
        <v>500</v>
      </c>
      <c r="R5" s="90">
        <f t="shared" si="4"/>
        <v>800</v>
      </c>
      <c r="S5" s="91">
        <f>Z13/Q5</f>
        <v>0.2</v>
      </c>
      <c r="T5" s="91">
        <f>Y13/R5</f>
        <v>0.08625</v>
      </c>
    </row>
    <row r="6">
      <c r="B6" s="11"/>
      <c r="C6" s="7" t="s">
        <v>20</v>
      </c>
      <c r="D6" s="7" t="s">
        <v>21</v>
      </c>
      <c r="E6" s="8">
        <v>4.0</v>
      </c>
      <c r="F6" s="8">
        <f t="shared" ref="F6:H6" si="5">X12</f>
        <v>498</v>
      </c>
      <c r="G6" s="8">
        <f t="shared" si="5"/>
        <v>55</v>
      </c>
      <c r="H6" s="8">
        <f t="shared" si="5"/>
        <v>91</v>
      </c>
      <c r="K6" s="21"/>
      <c r="L6" s="21" t="s">
        <v>39</v>
      </c>
      <c r="M6" s="75">
        <v>1.0</v>
      </c>
      <c r="N6" s="11"/>
      <c r="O6" s="95" t="s">
        <v>1742</v>
      </c>
      <c r="P6" s="89" t="s">
        <v>18</v>
      </c>
      <c r="Q6" s="90">
        <f t="shared" ref="Q6:Q7" si="7">M8*100</f>
        <v>1200</v>
      </c>
      <c r="R6" s="90">
        <f t="shared" si="4"/>
        <v>1200</v>
      </c>
      <c r="S6" s="91">
        <f t="shared" ref="S6:S7" si="8">Z11/Q6</f>
        <v>0.1972575758</v>
      </c>
      <c r="T6" s="91">
        <f t="shared" ref="T6:T7" si="9">Y11/R6</f>
        <v>0.2729848485</v>
      </c>
      <c r="AH6" s="96"/>
    </row>
    <row r="7">
      <c r="B7" s="14"/>
      <c r="C7" s="15" t="s">
        <v>23</v>
      </c>
      <c r="D7" s="3"/>
      <c r="E7" s="16">
        <v>19.0</v>
      </c>
      <c r="F7" s="16">
        <f t="shared" ref="F7:H7" si="6">SUM(F3:F6)</f>
        <v>3808</v>
      </c>
      <c r="G7" s="16">
        <f t="shared" si="6"/>
        <v>469.5818182</v>
      </c>
      <c r="H7" s="16">
        <f t="shared" si="6"/>
        <v>555.7090909</v>
      </c>
      <c r="K7" s="21" t="s">
        <v>1743</v>
      </c>
      <c r="L7" s="21"/>
      <c r="M7" s="75">
        <v>3.0</v>
      </c>
      <c r="N7" s="11"/>
      <c r="O7" s="88" t="s">
        <v>20</v>
      </c>
      <c r="P7" s="89" t="s">
        <v>21</v>
      </c>
      <c r="Q7" s="90">
        <f t="shared" si="7"/>
        <v>700</v>
      </c>
      <c r="R7" s="90">
        <f t="shared" si="4"/>
        <v>800</v>
      </c>
      <c r="S7" s="91">
        <f t="shared" si="8"/>
        <v>0.13</v>
      </c>
      <c r="T7" s="91">
        <f t="shared" si="9"/>
        <v>0.06875</v>
      </c>
    </row>
    <row r="8">
      <c r="B8" s="18" t="s">
        <v>24</v>
      </c>
      <c r="C8" s="19" t="s">
        <v>25</v>
      </c>
      <c r="D8" s="19" t="s">
        <v>26</v>
      </c>
      <c r="E8" s="20">
        <v>7.0</v>
      </c>
      <c r="F8" s="20">
        <f t="shared" ref="F8:H8" si="10">X28</f>
        <v>870.75</v>
      </c>
      <c r="G8" s="20">
        <f t="shared" si="10"/>
        <v>353.7909091</v>
      </c>
      <c r="H8" s="20">
        <f t="shared" si="10"/>
        <v>156.8545455</v>
      </c>
      <c r="K8" s="21" t="s">
        <v>19</v>
      </c>
      <c r="L8" s="21" t="s">
        <v>18</v>
      </c>
      <c r="M8" s="75">
        <v>12.0</v>
      </c>
      <c r="N8" s="14"/>
      <c r="O8" s="99" t="s">
        <v>23</v>
      </c>
      <c r="P8" s="3"/>
      <c r="Q8" s="100">
        <f t="shared" ref="Q8:R8" si="11">SUM(Q4:Q7)</f>
        <v>3500</v>
      </c>
      <c r="R8" s="101">
        <f t="shared" si="11"/>
        <v>3800</v>
      </c>
      <c r="S8" s="102">
        <f>Z15/Q8</f>
        <v>0.158774026</v>
      </c>
      <c r="T8" s="102">
        <f>Y15/R8</f>
        <v>0.1235741627</v>
      </c>
    </row>
    <row r="9">
      <c r="B9" s="11"/>
      <c r="C9" s="19" t="s">
        <v>28</v>
      </c>
      <c r="D9" s="19" t="s">
        <v>29</v>
      </c>
      <c r="E9" s="20">
        <v>5.0</v>
      </c>
      <c r="F9" s="20">
        <f t="shared" ref="F9:H9" si="12">X27</f>
        <v>987.5</v>
      </c>
      <c r="G9" s="20">
        <f t="shared" si="12"/>
        <v>209.5272727</v>
      </c>
      <c r="H9" s="20">
        <f t="shared" si="12"/>
        <v>65.23636364</v>
      </c>
      <c r="K9" s="21"/>
      <c r="L9" s="21" t="s">
        <v>21</v>
      </c>
      <c r="M9" s="75">
        <v>7.0</v>
      </c>
      <c r="N9" s="106" t="s">
        <v>24</v>
      </c>
      <c r="O9" s="107" t="s">
        <v>25</v>
      </c>
      <c r="P9" s="108" t="s">
        <v>26</v>
      </c>
      <c r="Q9" s="90">
        <f>M15*100</f>
        <v>1100</v>
      </c>
      <c r="R9" s="90">
        <f t="shared" ref="R9:R11" si="14">200*E8</f>
        <v>1400</v>
      </c>
      <c r="S9" s="91">
        <f>Z28/Q9</f>
        <v>0.1425950413</v>
      </c>
      <c r="T9" s="91">
        <f>Y28/R9</f>
        <v>0.2527077922</v>
      </c>
      <c r="W9" s="109" t="s">
        <v>8</v>
      </c>
      <c r="AA9" s="110"/>
    </row>
    <row r="10">
      <c r="B10" s="11"/>
      <c r="C10" s="19" t="s">
        <v>30</v>
      </c>
      <c r="D10" s="19" t="s">
        <v>31</v>
      </c>
      <c r="E10" s="20">
        <v>5.0</v>
      </c>
      <c r="F10" s="20">
        <f t="shared" ref="F10:H10" si="13">X26</f>
        <v>1005</v>
      </c>
      <c r="G10" s="20">
        <f t="shared" si="13"/>
        <v>59</v>
      </c>
      <c r="H10" s="20">
        <f t="shared" si="13"/>
        <v>46</v>
      </c>
      <c r="K10" s="21"/>
      <c r="L10" s="21" t="s">
        <v>15</v>
      </c>
      <c r="M10" s="75">
        <v>5.0</v>
      </c>
      <c r="N10" s="11"/>
      <c r="O10" s="107" t="s">
        <v>28</v>
      </c>
      <c r="P10" s="108" t="s">
        <v>29</v>
      </c>
      <c r="Q10" s="90">
        <f>M14*100</f>
        <v>500</v>
      </c>
      <c r="R10" s="90">
        <f t="shared" si="14"/>
        <v>1000</v>
      </c>
      <c r="S10" s="91">
        <f>Z27/Q10</f>
        <v>0.1304727273</v>
      </c>
      <c r="T10" s="91">
        <f>Y27/R10</f>
        <v>0.2095272727</v>
      </c>
      <c r="W10" s="111" t="s">
        <v>3</v>
      </c>
      <c r="X10" s="112" t="s">
        <v>1738</v>
      </c>
      <c r="Y10" s="112" t="s">
        <v>1739</v>
      </c>
      <c r="Z10" s="112" t="s">
        <v>1740</v>
      </c>
      <c r="AA10" s="113" t="s">
        <v>1741</v>
      </c>
    </row>
    <row r="11">
      <c r="B11" s="14"/>
      <c r="C11" s="15" t="s">
        <v>23</v>
      </c>
      <c r="D11" s="3"/>
      <c r="E11" s="16">
        <v>17.0</v>
      </c>
      <c r="F11" s="16">
        <f t="shared" ref="F11:H11" si="15">SUM(F7:F10)</f>
        <v>6671.25</v>
      </c>
      <c r="G11" s="16">
        <f t="shared" si="15"/>
        <v>1091.9</v>
      </c>
      <c r="H11" s="16">
        <f t="shared" si="15"/>
        <v>823.8</v>
      </c>
      <c r="K11" s="21"/>
      <c r="L11" s="21" t="s">
        <v>10</v>
      </c>
      <c r="M11" s="75">
        <v>11.0</v>
      </c>
      <c r="N11" s="11"/>
      <c r="O11" s="107" t="s">
        <v>30</v>
      </c>
      <c r="P11" s="108" t="s">
        <v>31</v>
      </c>
      <c r="Q11" s="90">
        <f>M13*100</f>
        <v>800</v>
      </c>
      <c r="R11" s="90">
        <f t="shared" si="14"/>
        <v>1000</v>
      </c>
      <c r="S11" s="91">
        <f>Z26/Q11</f>
        <v>0.0575</v>
      </c>
      <c r="T11" s="91">
        <f>Y26/R11</f>
        <v>0.059</v>
      </c>
      <c r="W11" s="114" t="s">
        <v>18</v>
      </c>
      <c r="X11" s="93">
        <v>1756.0</v>
      </c>
      <c r="Y11" s="93">
        <v>327.5818181818182</v>
      </c>
      <c r="Z11" s="93">
        <v>236.70909090909092</v>
      </c>
      <c r="AA11" s="94">
        <v>829.9454545454546</v>
      </c>
    </row>
    <row r="12">
      <c r="B12" s="22" t="s">
        <v>16</v>
      </c>
      <c r="C12" s="23" t="s">
        <v>32</v>
      </c>
      <c r="D12" s="24" t="s">
        <v>33</v>
      </c>
      <c r="E12" s="23">
        <v>4.0</v>
      </c>
      <c r="F12" s="25">
        <f t="shared" ref="F12:H12" si="16">X19</f>
        <v>30</v>
      </c>
      <c r="G12" s="25">
        <f t="shared" si="16"/>
        <v>0</v>
      </c>
      <c r="H12" s="25">
        <f t="shared" si="16"/>
        <v>8</v>
      </c>
      <c r="K12" s="21" t="s">
        <v>1744</v>
      </c>
      <c r="L12" s="21"/>
      <c r="M12" s="75">
        <v>34.0</v>
      </c>
      <c r="N12" s="14"/>
      <c r="O12" s="99" t="s">
        <v>23</v>
      </c>
      <c r="P12" s="3"/>
      <c r="Q12" s="100">
        <f>SUM(Q8:Q11)</f>
        <v>5900</v>
      </c>
      <c r="R12" s="101">
        <f>SUM(R9:R11)</f>
        <v>3400</v>
      </c>
      <c r="S12" s="102">
        <f>Z29/Q12</f>
        <v>0.04543913713</v>
      </c>
      <c r="T12" s="102">
        <f>Y29/R12</f>
        <v>0.1830347594</v>
      </c>
      <c r="W12" s="114" t="s">
        <v>21</v>
      </c>
      <c r="X12" s="93">
        <v>498.0</v>
      </c>
      <c r="Y12" s="93">
        <v>55.0</v>
      </c>
      <c r="Z12" s="93">
        <v>91.0</v>
      </c>
      <c r="AA12" s="94">
        <v>101.0</v>
      </c>
    </row>
    <row r="13">
      <c r="B13" s="11"/>
      <c r="C13" s="23" t="s">
        <v>34</v>
      </c>
      <c r="D13" s="24" t="s">
        <v>35</v>
      </c>
      <c r="E13" s="23">
        <v>2.0</v>
      </c>
      <c r="F13" s="25">
        <f t="shared" ref="F13:H13" si="17">X20</f>
        <v>4</v>
      </c>
      <c r="G13" s="25">
        <f t="shared" si="17"/>
        <v>2</v>
      </c>
      <c r="H13" s="25">
        <f t="shared" si="17"/>
        <v>4</v>
      </c>
      <c r="K13" s="21" t="s">
        <v>22</v>
      </c>
      <c r="L13" s="21" t="s">
        <v>31</v>
      </c>
      <c r="M13" s="75">
        <v>8.0</v>
      </c>
      <c r="N13" s="115" t="s">
        <v>16</v>
      </c>
      <c r="O13" s="116" t="s">
        <v>32</v>
      </c>
      <c r="P13" s="117" t="s">
        <v>33</v>
      </c>
      <c r="Q13" s="118">
        <f t="shared" ref="Q13:Q14" si="18">M4*100</f>
        <v>100</v>
      </c>
      <c r="R13" s="118">
        <f t="shared" ref="R13:R16" si="19">200*E12</f>
        <v>800</v>
      </c>
      <c r="S13" s="119">
        <f t="shared" ref="S13:S14" si="20">Z19/Q13</f>
        <v>0.08</v>
      </c>
      <c r="T13" s="119">
        <f t="shared" ref="T13:T14" si="21">Y19/R13</f>
        <v>0</v>
      </c>
      <c r="W13" s="114" t="s">
        <v>15</v>
      </c>
      <c r="X13" s="93">
        <v>632.0</v>
      </c>
      <c r="Y13" s="93">
        <v>69.0</v>
      </c>
      <c r="Z13" s="93">
        <v>100.0</v>
      </c>
      <c r="AA13" s="94">
        <v>261.0</v>
      </c>
    </row>
    <row r="14">
      <c r="B14" s="11"/>
      <c r="C14" s="23" t="s">
        <v>36</v>
      </c>
      <c r="D14" s="24" t="s">
        <v>37</v>
      </c>
      <c r="E14" s="23">
        <v>2.0</v>
      </c>
      <c r="F14" s="24">
        <v>0.0</v>
      </c>
      <c r="G14" s="25">
        <v>0.0</v>
      </c>
      <c r="H14" s="25">
        <v>0.0</v>
      </c>
      <c r="K14" s="21"/>
      <c r="L14" s="21" t="s">
        <v>29</v>
      </c>
      <c r="M14" s="75">
        <v>5.0</v>
      </c>
      <c r="N14" s="11"/>
      <c r="O14" s="116" t="s">
        <v>34</v>
      </c>
      <c r="P14" s="117" t="s">
        <v>35</v>
      </c>
      <c r="Q14" s="118">
        <f t="shared" si="18"/>
        <v>100</v>
      </c>
      <c r="R14" s="118">
        <f t="shared" si="19"/>
        <v>400</v>
      </c>
      <c r="S14" s="119">
        <f t="shared" si="20"/>
        <v>0.04</v>
      </c>
      <c r="T14" s="119">
        <f t="shared" si="21"/>
        <v>0.005</v>
      </c>
      <c r="W14" s="114" t="s">
        <v>10</v>
      </c>
      <c r="X14" s="93">
        <v>922.0</v>
      </c>
      <c r="Y14" s="93">
        <v>18.0</v>
      </c>
      <c r="Z14" s="93">
        <v>128.0</v>
      </c>
      <c r="AA14" s="94">
        <v>161.0</v>
      </c>
    </row>
    <row r="15">
      <c r="B15" s="11"/>
      <c r="C15" s="23" t="s">
        <v>38</v>
      </c>
      <c r="D15" s="24" t="s">
        <v>39</v>
      </c>
      <c r="E15" s="23">
        <v>2.0</v>
      </c>
      <c r="F15" s="25">
        <f t="shared" ref="F15:H15" si="22">X21</f>
        <v>14</v>
      </c>
      <c r="G15" s="25">
        <f t="shared" si="22"/>
        <v>0</v>
      </c>
      <c r="H15" s="25">
        <f t="shared" si="22"/>
        <v>14</v>
      </c>
      <c r="K15" s="21"/>
      <c r="L15" s="21" t="s">
        <v>26</v>
      </c>
      <c r="M15" s="75">
        <v>11.0</v>
      </c>
      <c r="N15" s="11"/>
      <c r="O15" s="116" t="s">
        <v>36</v>
      </c>
      <c r="P15" s="117" t="s">
        <v>37</v>
      </c>
      <c r="Q15" s="118">
        <f>E14*100</f>
        <v>200</v>
      </c>
      <c r="R15" s="118">
        <f t="shared" si="19"/>
        <v>400</v>
      </c>
      <c r="S15" s="120">
        <v>0.0</v>
      </c>
      <c r="T15" s="120">
        <v>0.0</v>
      </c>
      <c r="W15" s="114" t="s">
        <v>27</v>
      </c>
      <c r="X15" s="93">
        <v>3808.0</v>
      </c>
      <c r="Y15" s="93">
        <v>469.5818181818182</v>
      </c>
      <c r="Z15" s="93">
        <v>555.709090909091</v>
      </c>
      <c r="AA15" s="94">
        <v>1352.9454545454546</v>
      </c>
    </row>
    <row r="16">
      <c r="B16" s="14"/>
      <c r="C16" s="26" t="s">
        <v>23</v>
      </c>
      <c r="D16" s="27"/>
      <c r="E16" s="28">
        <f t="shared" ref="E16:H16" si="23">SUM(E12:E15)</f>
        <v>10</v>
      </c>
      <c r="F16" s="29">
        <f t="shared" si="23"/>
        <v>48</v>
      </c>
      <c r="G16" s="29">
        <f t="shared" si="23"/>
        <v>2</v>
      </c>
      <c r="H16" s="29">
        <f t="shared" si="23"/>
        <v>26</v>
      </c>
      <c r="K16" s="21" t="s">
        <v>1745</v>
      </c>
      <c r="L16" s="21"/>
      <c r="M16" s="75">
        <v>24.0</v>
      </c>
      <c r="N16" s="11"/>
      <c r="O16" s="116" t="s">
        <v>38</v>
      </c>
      <c r="P16" s="117" t="s">
        <v>39</v>
      </c>
      <c r="Q16" s="118">
        <f>M6*100</f>
        <v>100</v>
      </c>
      <c r="R16" s="118">
        <f t="shared" si="19"/>
        <v>400</v>
      </c>
      <c r="S16" s="119">
        <f t="shared" ref="S16:S17" si="27">Z21/Q16</f>
        <v>0.14</v>
      </c>
      <c r="T16" s="119">
        <f>Y22/R16</f>
        <v>0.005</v>
      </c>
      <c r="W16" s="121" t="s">
        <v>1746</v>
      </c>
      <c r="X16" s="122" t="str">
        <f t="shared" ref="X16:AA16" si="24">X15/X7</f>
        <v>#DIV/0!</v>
      </c>
      <c r="Y16" s="122" t="str">
        <f t="shared" si="24"/>
        <v>#DIV/0!</v>
      </c>
      <c r="Z16" s="122" t="str">
        <f t="shared" si="24"/>
        <v>#DIV/0!</v>
      </c>
      <c r="AA16" s="123" t="str">
        <f t="shared" si="24"/>
        <v>#DIV/0!</v>
      </c>
    </row>
    <row r="17">
      <c r="B17" s="30" t="s">
        <v>40</v>
      </c>
      <c r="C17" s="31"/>
      <c r="D17" s="32"/>
      <c r="E17" s="33">
        <f>SUM(E7+E11+E16)</f>
        <v>46</v>
      </c>
      <c r="F17" s="33">
        <f>F7+F11+F16</f>
        <v>10527.25</v>
      </c>
      <c r="G17" s="33">
        <f t="shared" ref="G17:H17" si="25">G16+G11+G7</f>
        <v>1563.481818</v>
      </c>
      <c r="H17" s="33">
        <f t="shared" si="25"/>
        <v>1405.509091</v>
      </c>
      <c r="K17" s="21" t="s">
        <v>1</v>
      </c>
      <c r="L17" s="21" t="s">
        <v>3</v>
      </c>
      <c r="M17" s="75">
        <v>1.0</v>
      </c>
      <c r="N17" s="14"/>
      <c r="O17" s="124" t="s">
        <v>23</v>
      </c>
      <c r="P17" s="27"/>
      <c r="Q17" s="100">
        <f t="shared" ref="Q17:R17" si="26">SUM(Q13:Q16)</f>
        <v>500</v>
      </c>
      <c r="R17" s="101">
        <f t="shared" si="26"/>
        <v>2000</v>
      </c>
      <c r="S17" s="102">
        <f t="shared" si="27"/>
        <v>0.052</v>
      </c>
      <c r="T17" s="102">
        <f>Y22/R17</f>
        <v>0.001</v>
      </c>
      <c r="W17" s="109" t="s">
        <v>16</v>
      </c>
      <c r="AA17" s="110"/>
    </row>
    <row r="18">
      <c r="K18" s="21" t="s">
        <v>1747</v>
      </c>
      <c r="L18" s="21"/>
      <c r="M18" s="21">
        <v>1.0</v>
      </c>
      <c r="N18" s="53" t="s">
        <v>1739</v>
      </c>
      <c r="O18" s="125">
        <v>200.0</v>
      </c>
      <c r="Q18" s="125" t="s">
        <v>1748</v>
      </c>
      <c r="R18" s="125">
        <v>200.0</v>
      </c>
      <c r="S18" s="126"/>
      <c r="T18" s="126"/>
      <c r="W18" s="111" t="s">
        <v>3</v>
      </c>
      <c r="X18" s="112" t="s">
        <v>1738</v>
      </c>
      <c r="Y18" s="112" t="s">
        <v>1739</v>
      </c>
      <c r="Z18" s="112" t="s">
        <v>1740</v>
      </c>
      <c r="AA18" s="113" t="s">
        <v>1741</v>
      </c>
    </row>
    <row r="19">
      <c r="K19" s="21" t="s">
        <v>27</v>
      </c>
      <c r="L19" s="21"/>
      <c r="M19" s="21">
        <v>62.0</v>
      </c>
      <c r="W19" s="114" t="s">
        <v>33</v>
      </c>
      <c r="X19" s="93">
        <v>30.0</v>
      </c>
      <c r="Y19" s="93">
        <v>0.0</v>
      </c>
      <c r="Z19" s="93">
        <v>8.0</v>
      </c>
      <c r="AA19" s="94">
        <v>10.0</v>
      </c>
    </row>
    <row r="20">
      <c r="W20" s="114" t="s">
        <v>35</v>
      </c>
      <c r="X20" s="93">
        <v>4.0</v>
      </c>
      <c r="Y20" s="93">
        <v>2.0</v>
      </c>
      <c r="Z20" s="93">
        <v>4.0</v>
      </c>
      <c r="AA20" s="94">
        <v>0.0</v>
      </c>
    </row>
    <row r="21">
      <c r="B21" s="127"/>
      <c r="O21" s="128" t="s">
        <v>1749</v>
      </c>
      <c r="P21" s="128" t="s">
        <v>1750</v>
      </c>
      <c r="Q21" s="128" t="s">
        <v>1751</v>
      </c>
      <c r="R21" s="128" t="s">
        <v>1752</v>
      </c>
      <c r="W21" s="114" t="s">
        <v>39</v>
      </c>
      <c r="X21" s="93">
        <v>14.0</v>
      </c>
      <c r="Y21" s="93">
        <v>0.0</v>
      </c>
      <c r="Z21" s="93">
        <v>14.0</v>
      </c>
      <c r="AA21" s="94">
        <v>14.0</v>
      </c>
    </row>
    <row r="22">
      <c r="B22" s="129"/>
      <c r="C22" s="130"/>
      <c r="D22" s="130"/>
      <c r="E22" s="130"/>
      <c r="F22" s="130"/>
      <c r="G22" s="130"/>
      <c r="H22" s="130"/>
      <c r="O22" s="131"/>
      <c r="P22" s="132"/>
      <c r="Q22" s="73"/>
      <c r="R22" s="73"/>
      <c r="W22" s="114" t="s">
        <v>27</v>
      </c>
      <c r="X22" s="93">
        <v>48.0</v>
      </c>
      <c r="Y22" s="93">
        <v>2.0</v>
      </c>
      <c r="Z22" s="93">
        <v>26.0</v>
      </c>
      <c r="AA22" s="94">
        <v>24.0</v>
      </c>
    </row>
    <row r="23">
      <c r="B23" s="129"/>
      <c r="C23" s="133"/>
      <c r="D23" s="133"/>
      <c r="E23" s="134"/>
      <c r="F23" s="134"/>
      <c r="G23" s="134"/>
      <c r="H23" s="134"/>
      <c r="W23" s="121" t="s">
        <v>1746</v>
      </c>
      <c r="X23" s="122">
        <f t="shared" ref="X23:AA23" si="28">X22/X14</f>
        <v>0.05206073753</v>
      </c>
      <c r="Y23" s="122">
        <f t="shared" si="28"/>
        <v>0.1111111111</v>
      </c>
      <c r="Z23" s="122">
        <f t="shared" si="28"/>
        <v>0.203125</v>
      </c>
      <c r="AA23" s="123">
        <f t="shared" si="28"/>
        <v>0.149068323</v>
      </c>
    </row>
    <row r="24">
      <c r="C24" s="133"/>
      <c r="D24" s="133"/>
      <c r="E24" s="134"/>
      <c r="F24" s="134"/>
      <c r="G24" s="134"/>
      <c r="H24" s="134"/>
      <c r="W24" s="135" t="s">
        <v>24</v>
      </c>
      <c r="AA24" s="110"/>
    </row>
    <row r="25">
      <c r="C25" s="133"/>
      <c r="D25" s="133"/>
      <c r="E25" s="134"/>
      <c r="F25" s="134"/>
      <c r="G25" s="134"/>
      <c r="H25" s="134"/>
      <c r="W25" s="111" t="s">
        <v>3</v>
      </c>
      <c r="X25" s="112" t="s">
        <v>1738</v>
      </c>
      <c r="Y25" s="112" t="s">
        <v>1739</v>
      </c>
      <c r="Z25" s="112" t="s">
        <v>1740</v>
      </c>
      <c r="AA25" s="113" t="s">
        <v>1741</v>
      </c>
      <c r="AF25" s="136"/>
    </row>
    <row r="26">
      <c r="C26" s="133"/>
      <c r="D26" s="133"/>
      <c r="E26" s="134"/>
      <c r="F26" s="134"/>
      <c r="G26" s="134"/>
      <c r="H26" s="134"/>
      <c r="W26" s="114" t="s">
        <v>31</v>
      </c>
      <c r="X26" s="93">
        <v>1005.0</v>
      </c>
      <c r="Y26" s="93">
        <v>59.0</v>
      </c>
      <c r="Z26" s="93">
        <v>46.0</v>
      </c>
      <c r="AA26" s="94">
        <v>229.0</v>
      </c>
    </row>
    <row r="27">
      <c r="C27" s="129"/>
      <c r="E27" s="137"/>
      <c r="F27" s="137"/>
      <c r="G27" s="137"/>
      <c r="H27" s="137"/>
      <c r="W27" s="114" t="s">
        <v>29</v>
      </c>
      <c r="X27" s="93">
        <v>987.5</v>
      </c>
      <c r="Y27" s="93">
        <v>209.5272727272727</v>
      </c>
      <c r="Z27" s="93">
        <v>65.23636363636363</v>
      </c>
      <c r="AA27" s="94">
        <v>312.07272727272743</v>
      </c>
    </row>
    <row r="28">
      <c r="B28" s="129"/>
      <c r="C28" s="133"/>
      <c r="D28" s="133"/>
      <c r="E28" s="134"/>
      <c r="F28" s="134"/>
      <c r="G28" s="134"/>
      <c r="H28" s="134"/>
      <c r="W28" s="114" t="s">
        <v>26</v>
      </c>
      <c r="X28" s="93">
        <v>870.7500000000001</v>
      </c>
      <c r="Y28" s="93">
        <v>353.79090909090905</v>
      </c>
      <c r="Z28" s="93">
        <v>156.85454545454544</v>
      </c>
      <c r="AA28" s="94">
        <v>358.3818181818184</v>
      </c>
    </row>
    <row r="29">
      <c r="C29" s="133"/>
      <c r="D29" s="133"/>
      <c r="E29" s="134"/>
      <c r="F29" s="134"/>
      <c r="G29" s="134"/>
      <c r="H29" s="134"/>
      <c r="W29" s="114" t="s">
        <v>27</v>
      </c>
      <c r="X29" s="93">
        <v>2863.2500000000005</v>
      </c>
      <c r="Y29" s="93">
        <v>622.3181818181818</v>
      </c>
      <c r="Z29" s="93">
        <v>268.09090909090907</v>
      </c>
      <c r="AA29" s="94">
        <v>899.4545454545458</v>
      </c>
    </row>
    <row r="30">
      <c r="C30" s="133"/>
      <c r="D30" s="133"/>
      <c r="E30" s="134"/>
      <c r="F30" s="134"/>
      <c r="G30" s="134"/>
      <c r="H30" s="134"/>
      <c r="W30" s="138" t="s">
        <v>1746</v>
      </c>
      <c r="X30" s="139" t="str">
        <f t="shared" ref="X30:AA30" si="29">X29/X7</f>
        <v>#DIV/0!</v>
      </c>
      <c r="Y30" s="139" t="str">
        <f t="shared" si="29"/>
        <v>#DIV/0!</v>
      </c>
      <c r="Z30" s="139" t="str">
        <f t="shared" si="29"/>
        <v>#DIV/0!</v>
      </c>
      <c r="AA30" s="140" t="str">
        <f t="shared" si="29"/>
        <v>#DIV/0!</v>
      </c>
    </row>
    <row r="31">
      <c r="C31" s="129"/>
      <c r="E31" s="137"/>
      <c r="F31" s="137"/>
      <c r="G31" s="137"/>
      <c r="H31" s="137"/>
      <c r="AA31" s="76"/>
    </row>
    <row r="32">
      <c r="B32" s="129"/>
      <c r="C32" s="133"/>
      <c r="D32" s="141"/>
      <c r="E32" s="133"/>
      <c r="F32" s="142"/>
      <c r="G32" s="142"/>
      <c r="H32" s="142"/>
      <c r="AA32" s="76"/>
    </row>
    <row r="33">
      <c r="C33" s="133"/>
      <c r="D33" s="141"/>
      <c r="E33" s="133"/>
      <c r="F33" s="142"/>
      <c r="G33" s="142"/>
      <c r="H33" s="142"/>
      <c r="AA33" s="76"/>
    </row>
    <row r="34">
      <c r="C34" s="133"/>
      <c r="D34" s="141"/>
      <c r="E34" s="133"/>
      <c r="F34" s="142"/>
      <c r="G34" s="142"/>
      <c r="H34" s="142"/>
      <c r="AA34" s="76"/>
    </row>
    <row r="35">
      <c r="C35" s="143"/>
      <c r="D35" s="143"/>
      <c r="E35" s="143"/>
      <c r="F35" s="143"/>
      <c r="G35" s="143"/>
      <c r="H35" s="143"/>
      <c r="AA35" s="76"/>
    </row>
    <row r="36">
      <c r="C36" s="143"/>
      <c r="D36" s="143"/>
      <c r="E36" s="143"/>
      <c r="F36" s="143"/>
      <c r="G36" s="143"/>
      <c r="H36" s="143"/>
      <c r="AA36" s="76"/>
    </row>
    <row r="37">
      <c r="B37" s="144"/>
      <c r="C37" s="143"/>
      <c r="D37" s="143"/>
      <c r="E37" s="143"/>
      <c r="F37" s="143"/>
      <c r="G37" s="143"/>
      <c r="H37" s="143"/>
      <c r="AA37" s="76"/>
    </row>
    <row r="38">
      <c r="B38" s="145"/>
      <c r="C38" s="143"/>
      <c r="D38" s="143"/>
      <c r="E38" s="143"/>
      <c r="F38" s="143"/>
      <c r="G38" s="143"/>
      <c r="H38" s="143"/>
      <c r="AA38" s="76"/>
    </row>
    <row r="39">
      <c r="B39" s="145"/>
      <c r="C39" s="143"/>
      <c r="D39" s="143"/>
      <c r="E39" s="143"/>
      <c r="F39" s="143"/>
      <c r="G39" s="143"/>
      <c r="H39" s="143"/>
      <c r="W39" s="67"/>
      <c r="X39" s="67"/>
      <c r="Y39" s="67"/>
      <c r="Z39" s="67"/>
      <c r="AA39" s="76"/>
    </row>
    <row r="40">
      <c r="B40" s="145"/>
      <c r="C40" s="143"/>
      <c r="D40" s="143"/>
      <c r="E40" s="143"/>
      <c r="F40" s="143"/>
      <c r="G40" s="143"/>
      <c r="H40" s="143"/>
      <c r="W40" s="67"/>
      <c r="X40" s="67"/>
      <c r="Y40" s="67"/>
      <c r="Z40" s="67"/>
      <c r="AA40" s="76"/>
    </row>
    <row r="41">
      <c r="B41" s="127"/>
      <c r="C41" s="143"/>
      <c r="D41" s="143"/>
      <c r="E41" s="143"/>
      <c r="F41" s="143"/>
      <c r="G41" s="143"/>
      <c r="H41" s="143"/>
      <c r="W41" s="67"/>
      <c r="X41" s="67"/>
      <c r="Y41" s="67"/>
      <c r="Z41" s="67"/>
      <c r="AA41" s="76"/>
    </row>
    <row r="42">
      <c r="B42" s="129"/>
      <c r="C42" s="143"/>
      <c r="D42" s="143"/>
      <c r="E42" s="143"/>
      <c r="F42" s="143"/>
      <c r="G42" s="143"/>
      <c r="H42" s="143"/>
      <c r="W42" s="67"/>
      <c r="X42" s="67"/>
      <c r="Y42" s="67"/>
      <c r="Z42" s="67"/>
      <c r="AA42" s="76"/>
    </row>
    <row r="43">
      <c r="B43" s="129"/>
      <c r="C43" s="143"/>
      <c r="D43" s="143"/>
      <c r="E43" s="143"/>
      <c r="F43" s="143"/>
      <c r="G43" s="143"/>
      <c r="H43" s="143"/>
      <c r="W43" s="67"/>
      <c r="X43" s="67"/>
      <c r="Y43" s="67"/>
      <c r="Z43" s="67"/>
      <c r="AA43" s="76"/>
    </row>
    <row r="44">
      <c r="C44" s="133"/>
      <c r="D44" s="133"/>
      <c r="E44" s="134"/>
      <c r="F44" s="133"/>
      <c r="G44" s="133"/>
      <c r="H44" s="133"/>
      <c r="W44" s="67"/>
      <c r="X44" s="67"/>
      <c r="Y44" s="67"/>
      <c r="Z44" s="67"/>
      <c r="AA44" s="76"/>
    </row>
    <row r="45">
      <c r="C45" s="133"/>
      <c r="D45" s="133"/>
      <c r="E45" s="134"/>
      <c r="F45" s="133"/>
      <c r="G45" s="133"/>
      <c r="H45" s="133"/>
      <c r="W45" s="67"/>
      <c r="X45" s="67"/>
      <c r="Y45" s="67"/>
      <c r="Z45" s="67"/>
      <c r="AA45" s="76"/>
    </row>
    <row r="46">
      <c r="C46" s="133"/>
      <c r="D46" s="133"/>
      <c r="E46" s="134"/>
      <c r="F46" s="133"/>
      <c r="G46" s="133"/>
      <c r="H46" s="133"/>
      <c r="W46" s="67"/>
      <c r="X46" s="67"/>
      <c r="Y46" s="67"/>
      <c r="Z46" s="67"/>
      <c r="AA46" s="76"/>
    </row>
    <row r="47">
      <c r="C47" s="129"/>
      <c r="E47" s="137"/>
      <c r="F47" s="137"/>
      <c r="G47" s="137"/>
      <c r="H47" s="137"/>
      <c r="W47" s="67"/>
      <c r="X47" s="67"/>
      <c r="Y47" s="67"/>
      <c r="Z47" s="67"/>
      <c r="AA47" s="76"/>
    </row>
    <row r="48">
      <c r="B48" s="129"/>
      <c r="C48" s="133"/>
      <c r="D48" s="133"/>
      <c r="E48" s="134"/>
      <c r="F48" s="146"/>
      <c r="G48" s="146"/>
      <c r="H48" s="146"/>
      <c r="AA48" s="76"/>
    </row>
    <row r="49">
      <c r="C49" s="133"/>
      <c r="D49" s="133"/>
      <c r="E49" s="134"/>
      <c r="F49" s="146"/>
      <c r="G49" s="146"/>
      <c r="H49" s="146"/>
      <c r="AA49" s="76"/>
    </row>
    <row r="50">
      <c r="C50" s="133"/>
      <c r="D50" s="133"/>
      <c r="E50" s="134"/>
      <c r="F50" s="146"/>
      <c r="G50" s="146"/>
      <c r="H50" s="146"/>
      <c r="AA50" s="76"/>
    </row>
    <row r="51">
      <c r="C51" s="129"/>
      <c r="E51" s="137"/>
      <c r="F51" s="137"/>
      <c r="G51" s="137"/>
      <c r="H51" s="137"/>
      <c r="AA51" s="76"/>
    </row>
    <row r="52">
      <c r="B52" s="129"/>
      <c r="C52" s="147"/>
      <c r="D52" s="148"/>
      <c r="E52" s="147"/>
      <c r="F52" s="149"/>
      <c r="G52" s="149"/>
      <c r="H52" s="149"/>
      <c r="AA52" s="76"/>
    </row>
    <row r="53">
      <c r="C53" s="150"/>
      <c r="D53" s="151"/>
      <c r="E53" s="150"/>
      <c r="F53" s="151"/>
      <c r="G53" s="151"/>
      <c r="H53" s="151"/>
      <c r="AA53" s="76"/>
    </row>
    <row r="54">
      <c r="C54" s="147"/>
      <c r="D54" s="148"/>
      <c r="E54" s="147"/>
      <c r="F54" s="148"/>
      <c r="G54" s="148"/>
      <c r="H54" s="148"/>
      <c r="AA54" s="76"/>
    </row>
    <row r="55">
      <c r="C55" s="150"/>
      <c r="D55" s="151"/>
      <c r="E55" s="150"/>
      <c r="F55" s="152"/>
      <c r="G55" s="152"/>
      <c r="H55" s="152"/>
      <c r="AA55" s="76"/>
    </row>
    <row r="56">
      <c r="C56" s="153"/>
      <c r="E56" s="153"/>
      <c r="F56" s="154"/>
      <c r="G56" s="154"/>
      <c r="H56" s="154"/>
      <c r="AA56" s="76"/>
    </row>
    <row r="57">
      <c r="B57" s="145"/>
      <c r="C57" s="145"/>
      <c r="D57" s="145"/>
      <c r="E57" s="145"/>
      <c r="F57" s="145"/>
      <c r="G57" s="145"/>
      <c r="H57" s="145"/>
      <c r="AA57" s="76"/>
    </row>
    <row r="58">
      <c r="B58" s="145"/>
      <c r="C58" s="145"/>
      <c r="D58" s="145"/>
      <c r="E58" s="145"/>
      <c r="F58" s="145"/>
      <c r="G58" s="145"/>
      <c r="H58" s="145"/>
      <c r="AA58" s="76"/>
    </row>
    <row r="59">
      <c r="AA59" s="76"/>
    </row>
    <row r="60">
      <c r="AA60" s="76"/>
    </row>
    <row r="61">
      <c r="AA61" s="76"/>
    </row>
    <row r="62">
      <c r="AA62" s="76"/>
    </row>
    <row r="63">
      <c r="AA63" s="76"/>
    </row>
    <row r="64">
      <c r="AA64" s="76"/>
    </row>
    <row r="65">
      <c r="AA65" s="76"/>
    </row>
    <row r="66">
      <c r="AA66" s="76"/>
    </row>
    <row r="67">
      <c r="AA67" s="76"/>
    </row>
    <row r="68">
      <c r="AA68" s="76"/>
    </row>
    <row r="69">
      <c r="AA69" s="76"/>
    </row>
    <row r="70">
      <c r="AA70" s="76"/>
    </row>
    <row r="71">
      <c r="AA71" s="76"/>
    </row>
    <row r="72">
      <c r="AA72" s="76"/>
    </row>
    <row r="73">
      <c r="AA73" s="76"/>
    </row>
    <row r="74">
      <c r="AA74" s="76"/>
    </row>
    <row r="75">
      <c r="AA75" s="76"/>
    </row>
    <row r="76">
      <c r="AA76" s="76"/>
    </row>
    <row r="77">
      <c r="AA77" s="76"/>
    </row>
    <row r="78">
      <c r="AA78" s="76"/>
    </row>
    <row r="79">
      <c r="AA79" s="76"/>
    </row>
    <row r="80">
      <c r="AA80" s="76"/>
    </row>
    <row r="81">
      <c r="AA81" s="76"/>
    </row>
    <row r="82">
      <c r="AA82" s="76"/>
    </row>
    <row r="83">
      <c r="AA83" s="76"/>
    </row>
    <row r="84">
      <c r="AA84" s="76"/>
    </row>
    <row r="85">
      <c r="AA85" s="76"/>
    </row>
    <row r="86">
      <c r="AA86" s="76"/>
    </row>
    <row r="87">
      <c r="AA87" s="76"/>
    </row>
    <row r="88">
      <c r="AA88" s="76"/>
    </row>
    <row r="89">
      <c r="AA89" s="76"/>
    </row>
    <row r="90">
      <c r="AA90" s="76"/>
    </row>
    <row r="91">
      <c r="AA91" s="76"/>
    </row>
    <row r="92">
      <c r="AA92" s="76"/>
    </row>
    <row r="93">
      <c r="AA93" s="76"/>
    </row>
    <row r="94">
      <c r="AA94" s="76"/>
    </row>
    <row r="95">
      <c r="AA95" s="76"/>
    </row>
    <row r="96">
      <c r="AA96" s="76"/>
    </row>
    <row r="97">
      <c r="AA97" s="76"/>
    </row>
    <row r="98">
      <c r="AA98" s="76"/>
    </row>
    <row r="99">
      <c r="AA99" s="76"/>
    </row>
    <row r="100">
      <c r="AA100" s="76"/>
    </row>
    <row r="101">
      <c r="AA101" s="76"/>
    </row>
    <row r="102">
      <c r="AA102" s="76"/>
    </row>
    <row r="103">
      <c r="AA103" s="76"/>
    </row>
    <row r="104">
      <c r="AA104" s="76"/>
    </row>
    <row r="105">
      <c r="AA105" s="76"/>
    </row>
    <row r="106">
      <c r="AA106" s="76"/>
    </row>
    <row r="107">
      <c r="AA107" s="76"/>
    </row>
    <row r="108">
      <c r="AA108" s="76"/>
    </row>
    <row r="109">
      <c r="AA109" s="76"/>
    </row>
    <row r="110">
      <c r="AA110" s="76"/>
    </row>
    <row r="111">
      <c r="AA111" s="76"/>
    </row>
    <row r="112">
      <c r="AA112" s="76"/>
    </row>
    <row r="113">
      <c r="AA113" s="76"/>
    </row>
    <row r="114">
      <c r="AA114" s="76"/>
    </row>
    <row r="115">
      <c r="AA115" s="76"/>
    </row>
    <row r="116">
      <c r="AA116" s="76"/>
    </row>
    <row r="117">
      <c r="AA117" s="76"/>
    </row>
    <row r="118">
      <c r="AA118" s="76"/>
    </row>
    <row r="119">
      <c r="AA119" s="76"/>
    </row>
    <row r="120">
      <c r="AA120" s="76"/>
    </row>
    <row r="121">
      <c r="AA121" s="76"/>
    </row>
    <row r="122">
      <c r="AA122" s="76"/>
    </row>
    <row r="123">
      <c r="AA123" s="76"/>
    </row>
    <row r="124">
      <c r="AA124" s="76"/>
    </row>
    <row r="125">
      <c r="AA125" s="76"/>
    </row>
    <row r="126">
      <c r="AA126" s="76"/>
    </row>
    <row r="127">
      <c r="AA127" s="76"/>
    </row>
    <row r="128">
      <c r="AA128" s="76"/>
    </row>
    <row r="129">
      <c r="AA129" s="76"/>
    </row>
    <row r="130">
      <c r="AA130" s="76"/>
    </row>
    <row r="131">
      <c r="AA131" s="76"/>
    </row>
    <row r="132">
      <c r="AA132" s="76"/>
    </row>
    <row r="133">
      <c r="AA133" s="76"/>
    </row>
    <row r="134">
      <c r="AA134" s="76"/>
    </row>
    <row r="135">
      <c r="AA135" s="76"/>
    </row>
    <row r="136">
      <c r="AA136" s="76"/>
    </row>
    <row r="137">
      <c r="AA137" s="76"/>
    </row>
    <row r="138">
      <c r="AA138" s="76"/>
    </row>
    <row r="139">
      <c r="AA139" s="76"/>
    </row>
    <row r="140">
      <c r="AA140" s="76"/>
    </row>
    <row r="141">
      <c r="AA141" s="76"/>
    </row>
    <row r="142">
      <c r="AA142" s="76"/>
    </row>
    <row r="143">
      <c r="AA143" s="76"/>
    </row>
    <row r="144">
      <c r="AA144" s="76"/>
    </row>
    <row r="145">
      <c r="AA145" s="76"/>
    </row>
    <row r="146">
      <c r="AA146" s="76"/>
    </row>
    <row r="147">
      <c r="AA147" s="76"/>
    </row>
    <row r="148">
      <c r="AA148" s="76"/>
    </row>
    <row r="149">
      <c r="AA149" s="76"/>
    </row>
    <row r="150">
      <c r="AA150" s="76"/>
    </row>
    <row r="151">
      <c r="AA151" s="76"/>
    </row>
    <row r="152">
      <c r="AA152" s="76"/>
    </row>
    <row r="153">
      <c r="AA153" s="76"/>
    </row>
    <row r="154">
      <c r="AA154" s="76"/>
    </row>
    <row r="155">
      <c r="AA155" s="76"/>
    </row>
    <row r="156">
      <c r="AA156" s="76"/>
    </row>
    <row r="157">
      <c r="AA157" s="76"/>
    </row>
    <row r="158">
      <c r="AA158" s="76"/>
    </row>
    <row r="159">
      <c r="AA159" s="76"/>
    </row>
    <row r="160">
      <c r="AA160" s="76"/>
    </row>
    <row r="161">
      <c r="AA161" s="76"/>
    </row>
    <row r="162">
      <c r="AA162" s="76"/>
    </row>
    <row r="163">
      <c r="AA163" s="76"/>
    </row>
    <row r="164">
      <c r="AA164" s="76"/>
    </row>
    <row r="165">
      <c r="AA165" s="76"/>
    </row>
    <row r="166">
      <c r="AA166" s="76"/>
    </row>
    <row r="167">
      <c r="AA167" s="76"/>
    </row>
    <row r="168">
      <c r="AA168" s="76"/>
    </row>
    <row r="169">
      <c r="AA169" s="76"/>
    </row>
    <row r="170">
      <c r="AA170" s="76"/>
    </row>
    <row r="171">
      <c r="AA171" s="76"/>
    </row>
    <row r="172">
      <c r="AA172" s="76"/>
    </row>
    <row r="173">
      <c r="AA173" s="76"/>
    </row>
    <row r="174">
      <c r="AA174" s="76"/>
    </row>
    <row r="175">
      <c r="AA175" s="76"/>
    </row>
    <row r="176">
      <c r="AA176" s="76"/>
    </row>
    <row r="177">
      <c r="AA177" s="76"/>
    </row>
    <row r="178">
      <c r="AA178" s="76"/>
    </row>
    <row r="179">
      <c r="AA179" s="76"/>
    </row>
    <row r="180">
      <c r="AA180" s="76"/>
    </row>
    <row r="181">
      <c r="AA181" s="76"/>
    </row>
    <row r="182">
      <c r="AA182" s="76"/>
    </row>
    <row r="183">
      <c r="AA183" s="76"/>
    </row>
    <row r="184">
      <c r="AA184" s="76"/>
    </row>
    <row r="185">
      <c r="AA185" s="76"/>
    </row>
    <row r="186">
      <c r="AA186" s="76"/>
    </row>
    <row r="187">
      <c r="AA187" s="76"/>
    </row>
    <row r="188">
      <c r="AA188" s="76"/>
    </row>
    <row r="189">
      <c r="AA189" s="76"/>
    </row>
    <row r="190">
      <c r="AA190" s="76"/>
    </row>
    <row r="191">
      <c r="AA191" s="76"/>
    </row>
    <row r="192">
      <c r="AA192" s="76"/>
    </row>
    <row r="193">
      <c r="AA193" s="76"/>
    </row>
    <row r="194">
      <c r="AA194" s="76"/>
    </row>
    <row r="195">
      <c r="AA195" s="76"/>
    </row>
    <row r="196">
      <c r="AA196" s="76"/>
    </row>
    <row r="197">
      <c r="AA197" s="76"/>
    </row>
    <row r="198">
      <c r="AA198" s="76"/>
    </row>
    <row r="199">
      <c r="AA199" s="76"/>
    </row>
    <row r="200">
      <c r="AA200" s="76"/>
    </row>
    <row r="201">
      <c r="AA201" s="76"/>
    </row>
    <row r="202">
      <c r="AA202" s="76"/>
    </row>
    <row r="203">
      <c r="AA203" s="76"/>
    </row>
    <row r="204">
      <c r="AA204" s="76"/>
    </row>
    <row r="205">
      <c r="AA205" s="76"/>
    </row>
    <row r="206">
      <c r="AA206" s="76"/>
    </row>
    <row r="207">
      <c r="AA207" s="76"/>
    </row>
    <row r="208">
      <c r="AA208" s="76"/>
    </row>
    <row r="209">
      <c r="AA209" s="76"/>
    </row>
    <row r="210">
      <c r="AA210" s="76"/>
    </row>
    <row r="211">
      <c r="AA211" s="76"/>
    </row>
    <row r="212">
      <c r="AA212" s="76"/>
    </row>
    <row r="213">
      <c r="AA213" s="76"/>
    </row>
    <row r="214">
      <c r="AA214" s="76"/>
    </row>
    <row r="215">
      <c r="AA215" s="76"/>
    </row>
    <row r="216">
      <c r="AA216" s="76"/>
    </row>
    <row r="217">
      <c r="AA217" s="76"/>
    </row>
    <row r="218">
      <c r="AA218" s="76"/>
    </row>
    <row r="219">
      <c r="AA219" s="76"/>
    </row>
    <row r="220">
      <c r="AA220" s="76"/>
    </row>
    <row r="221">
      <c r="AA221" s="76"/>
    </row>
    <row r="222">
      <c r="AA222" s="76"/>
    </row>
    <row r="223">
      <c r="AA223" s="76"/>
    </row>
    <row r="224">
      <c r="AA224" s="76"/>
    </row>
    <row r="225">
      <c r="AA225" s="76"/>
    </row>
    <row r="226">
      <c r="AA226" s="76"/>
    </row>
    <row r="227">
      <c r="AA227" s="76"/>
    </row>
    <row r="228">
      <c r="AA228" s="76"/>
    </row>
    <row r="229">
      <c r="AA229" s="76"/>
    </row>
    <row r="230">
      <c r="AA230" s="76"/>
    </row>
    <row r="231">
      <c r="AA231" s="76"/>
    </row>
    <row r="232">
      <c r="AA232" s="76"/>
    </row>
    <row r="233">
      <c r="AA233" s="76"/>
    </row>
    <row r="234">
      <c r="AA234" s="76"/>
    </row>
    <row r="235">
      <c r="AA235" s="76"/>
    </row>
    <row r="236">
      <c r="AA236" s="76"/>
    </row>
    <row r="237">
      <c r="AA237" s="76"/>
    </row>
    <row r="238">
      <c r="AA238" s="76"/>
    </row>
    <row r="239">
      <c r="AA239" s="76"/>
    </row>
    <row r="240">
      <c r="AA240" s="76"/>
    </row>
    <row r="241">
      <c r="AA241" s="76"/>
    </row>
    <row r="242">
      <c r="AA242" s="76"/>
    </row>
    <row r="243">
      <c r="AA243" s="76"/>
    </row>
    <row r="244">
      <c r="AA244" s="76"/>
    </row>
    <row r="245">
      <c r="AA245" s="76"/>
    </row>
    <row r="246">
      <c r="AA246" s="76"/>
    </row>
    <row r="247">
      <c r="AA247" s="76"/>
    </row>
    <row r="248">
      <c r="AA248" s="76"/>
    </row>
    <row r="249">
      <c r="AA249" s="76"/>
    </row>
    <row r="250">
      <c r="AA250" s="76"/>
    </row>
    <row r="251">
      <c r="AA251" s="76"/>
    </row>
    <row r="252">
      <c r="AA252" s="76"/>
    </row>
    <row r="253">
      <c r="AA253" s="76"/>
    </row>
    <row r="254">
      <c r="AA254" s="76"/>
    </row>
    <row r="255">
      <c r="AA255" s="76"/>
    </row>
    <row r="256">
      <c r="AA256" s="76"/>
    </row>
    <row r="257">
      <c r="AA257" s="76"/>
    </row>
    <row r="258">
      <c r="AA258" s="76"/>
    </row>
    <row r="259">
      <c r="AA259" s="76"/>
    </row>
    <row r="260">
      <c r="AA260" s="76"/>
    </row>
    <row r="261">
      <c r="AA261" s="76"/>
    </row>
    <row r="262">
      <c r="AA262" s="76"/>
    </row>
    <row r="263">
      <c r="AA263" s="76"/>
    </row>
    <row r="264">
      <c r="AA264" s="76"/>
    </row>
    <row r="265">
      <c r="AA265" s="76"/>
    </row>
    <row r="266">
      <c r="AA266" s="76"/>
    </row>
    <row r="267">
      <c r="AA267" s="76"/>
    </row>
    <row r="268">
      <c r="AA268" s="76"/>
    </row>
    <row r="269">
      <c r="AA269" s="76"/>
    </row>
    <row r="270">
      <c r="AA270" s="76"/>
    </row>
    <row r="271">
      <c r="AA271" s="76"/>
    </row>
    <row r="272">
      <c r="AA272" s="76"/>
    </row>
    <row r="273">
      <c r="AA273" s="76"/>
    </row>
    <row r="274">
      <c r="AA274" s="76"/>
    </row>
    <row r="275">
      <c r="AA275" s="76"/>
    </row>
    <row r="276">
      <c r="AA276" s="76"/>
    </row>
    <row r="277">
      <c r="AA277" s="76"/>
    </row>
    <row r="278">
      <c r="AA278" s="76"/>
    </row>
    <row r="279">
      <c r="AA279" s="76"/>
    </row>
    <row r="280">
      <c r="AA280" s="76"/>
    </row>
    <row r="281">
      <c r="AA281" s="76"/>
    </row>
    <row r="282">
      <c r="AA282" s="76"/>
    </row>
    <row r="283">
      <c r="AA283" s="76"/>
    </row>
    <row r="284">
      <c r="AA284" s="76"/>
    </row>
    <row r="285">
      <c r="AA285" s="76"/>
    </row>
    <row r="286">
      <c r="AA286" s="76"/>
    </row>
    <row r="287">
      <c r="AA287" s="76"/>
    </row>
    <row r="288">
      <c r="AA288" s="76"/>
    </row>
    <row r="289">
      <c r="AA289" s="76"/>
    </row>
    <row r="290">
      <c r="AA290" s="76"/>
    </row>
    <row r="291">
      <c r="AA291" s="76"/>
    </row>
    <row r="292">
      <c r="AA292" s="76"/>
    </row>
    <row r="293">
      <c r="AA293" s="76"/>
    </row>
    <row r="294">
      <c r="AA294" s="76"/>
    </row>
    <row r="295">
      <c r="AA295" s="76"/>
    </row>
    <row r="296">
      <c r="AA296" s="76"/>
    </row>
    <row r="297">
      <c r="AA297" s="76"/>
    </row>
    <row r="298">
      <c r="AA298" s="76"/>
    </row>
    <row r="299">
      <c r="AA299" s="76"/>
    </row>
    <row r="300">
      <c r="AA300" s="76"/>
    </row>
    <row r="301">
      <c r="AA301" s="76"/>
    </row>
    <row r="302">
      <c r="AA302" s="76"/>
    </row>
    <row r="303">
      <c r="AA303" s="76"/>
    </row>
    <row r="304">
      <c r="AA304" s="76"/>
    </row>
    <row r="305">
      <c r="AA305" s="76"/>
    </row>
    <row r="306">
      <c r="AA306" s="76"/>
    </row>
    <row r="307">
      <c r="AA307" s="76"/>
    </row>
    <row r="308">
      <c r="AA308" s="76"/>
    </row>
    <row r="309">
      <c r="AA309" s="76"/>
    </row>
    <row r="310">
      <c r="AA310" s="76"/>
    </row>
    <row r="311">
      <c r="AA311" s="76"/>
    </row>
    <row r="312">
      <c r="AA312" s="76"/>
    </row>
    <row r="313">
      <c r="AA313" s="76"/>
    </row>
    <row r="314">
      <c r="AA314" s="76"/>
    </row>
    <row r="315">
      <c r="AA315" s="76"/>
    </row>
    <row r="316">
      <c r="AA316" s="76"/>
    </row>
    <row r="317">
      <c r="AA317" s="76"/>
    </row>
    <row r="318">
      <c r="AA318" s="76"/>
    </row>
    <row r="319">
      <c r="AA319" s="76"/>
    </row>
    <row r="320">
      <c r="AA320" s="76"/>
    </row>
    <row r="321">
      <c r="AA321" s="76"/>
    </row>
    <row r="322">
      <c r="AA322" s="76"/>
    </row>
    <row r="323">
      <c r="AA323" s="76"/>
    </row>
    <row r="324">
      <c r="AA324" s="76"/>
    </row>
    <row r="325">
      <c r="AA325" s="76"/>
    </row>
    <row r="326">
      <c r="AA326" s="76"/>
    </row>
    <row r="327">
      <c r="AA327" s="76"/>
    </row>
    <row r="328">
      <c r="AA328" s="76"/>
    </row>
    <row r="329">
      <c r="AA329" s="76"/>
    </row>
    <row r="330">
      <c r="AA330" s="76"/>
    </row>
    <row r="331">
      <c r="AA331" s="76"/>
    </row>
    <row r="332">
      <c r="AA332" s="76"/>
    </row>
    <row r="333">
      <c r="AA333" s="76"/>
    </row>
    <row r="334">
      <c r="AA334" s="76"/>
    </row>
    <row r="335">
      <c r="AA335" s="76"/>
    </row>
    <row r="336">
      <c r="AA336" s="76"/>
    </row>
    <row r="337">
      <c r="AA337" s="76"/>
    </row>
    <row r="338">
      <c r="AA338" s="76"/>
    </row>
    <row r="339">
      <c r="AA339" s="76"/>
    </row>
    <row r="340">
      <c r="AA340" s="76"/>
    </row>
    <row r="341">
      <c r="AA341" s="76"/>
    </row>
    <row r="342">
      <c r="AA342" s="76"/>
    </row>
    <row r="343">
      <c r="AA343" s="76"/>
    </row>
    <row r="344">
      <c r="AA344" s="76"/>
    </row>
    <row r="345">
      <c r="AA345" s="76"/>
    </row>
    <row r="346">
      <c r="AA346" s="76"/>
    </row>
    <row r="347">
      <c r="AA347" s="76"/>
    </row>
    <row r="348">
      <c r="AA348" s="76"/>
    </row>
    <row r="349">
      <c r="AA349" s="76"/>
    </row>
    <row r="350">
      <c r="AA350" s="76"/>
    </row>
    <row r="351">
      <c r="AA351" s="76"/>
    </row>
    <row r="352">
      <c r="AA352" s="76"/>
    </row>
    <row r="353">
      <c r="AA353" s="76"/>
    </row>
    <row r="354">
      <c r="AA354" s="76"/>
    </row>
    <row r="355">
      <c r="AA355" s="76"/>
    </row>
    <row r="356">
      <c r="AA356" s="76"/>
    </row>
    <row r="357">
      <c r="AA357" s="76"/>
    </row>
    <row r="358">
      <c r="AA358" s="76"/>
    </row>
    <row r="359">
      <c r="AA359" s="76"/>
    </row>
    <row r="360">
      <c r="AA360" s="76"/>
    </row>
    <row r="361">
      <c r="AA361" s="76"/>
    </row>
    <row r="362">
      <c r="AA362" s="76"/>
    </row>
    <row r="363">
      <c r="AA363" s="76"/>
    </row>
    <row r="364">
      <c r="AA364" s="76"/>
    </row>
    <row r="365">
      <c r="AA365" s="76"/>
    </row>
    <row r="366">
      <c r="AA366" s="76"/>
    </row>
    <row r="367">
      <c r="AA367" s="76"/>
    </row>
    <row r="368">
      <c r="AA368" s="76"/>
    </row>
    <row r="369">
      <c r="AA369" s="76"/>
    </row>
    <row r="370">
      <c r="AA370" s="76"/>
    </row>
    <row r="371">
      <c r="AA371" s="76"/>
    </row>
    <row r="372">
      <c r="AA372" s="76"/>
    </row>
    <row r="373">
      <c r="AA373" s="76"/>
    </row>
    <row r="374">
      <c r="AA374" s="76"/>
    </row>
    <row r="375">
      <c r="AA375" s="76"/>
    </row>
    <row r="376">
      <c r="AA376" s="76"/>
    </row>
    <row r="377">
      <c r="AA377" s="76"/>
    </row>
    <row r="378">
      <c r="AA378" s="76"/>
    </row>
    <row r="379">
      <c r="AA379" s="76"/>
    </row>
    <row r="380">
      <c r="AA380" s="76"/>
    </row>
    <row r="381">
      <c r="AA381" s="76"/>
    </row>
    <row r="382">
      <c r="AA382" s="76"/>
    </row>
    <row r="383">
      <c r="AA383" s="76"/>
    </row>
    <row r="384">
      <c r="AA384" s="76"/>
    </row>
    <row r="385">
      <c r="AA385" s="76"/>
    </row>
    <row r="386">
      <c r="AA386" s="76"/>
    </row>
    <row r="387">
      <c r="AA387" s="76"/>
    </row>
    <row r="388">
      <c r="AA388" s="76"/>
    </row>
    <row r="389">
      <c r="AA389" s="76"/>
    </row>
    <row r="390">
      <c r="AA390" s="76"/>
    </row>
    <row r="391">
      <c r="AA391" s="76"/>
    </row>
    <row r="392">
      <c r="AA392" s="76"/>
    </row>
    <row r="393">
      <c r="AA393" s="76"/>
    </row>
    <row r="394">
      <c r="AA394" s="76"/>
    </row>
    <row r="395">
      <c r="AA395" s="76"/>
    </row>
    <row r="396">
      <c r="AA396" s="76"/>
    </row>
    <row r="397">
      <c r="AA397" s="76"/>
    </row>
    <row r="398">
      <c r="AA398" s="76"/>
    </row>
    <row r="399">
      <c r="AA399" s="76"/>
    </row>
    <row r="400">
      <c r="AA400" s="76"/>
    </row>
    <row r="401">
      <c r="AA401" s="76"/>
    </row>
    <row r="402">
      <c r="AA402" s="76"/>
    </row>
    <row r="403">
      <c r="AA403" s="76"/>
    </row>
    <row r="404">
      <c r="AA404" s="76"/>
    </row>
    <row r="405">
      <c r="AA405" s="76"/>
    </row>
    <row r="406">
      <c r="AA406" s="76"/>
    </row>
    <row r="407">
      <c r="AA407" s="76"/>
    </row>
    <row r="408">
      <c r="AA408" s="76"/>
    </row>
    <row r="409">
      <c r="AA409" s="76"/>
    </row>
    <row r="410">
      <c r="AA410" s="76"/>
    </row>
    <row r="411">
      <c r="AA411" s="76"/>
    </row>
    <row r="412">
      <c r="AA412" s="76"/>
    </row>
    <row r="413">
      <c r="AA413" s="76"/>
    </row>
    <row r="414">
      <c r="AA414" s="76"/>
    </row>
    <row r="415">
      <c r="AA415" s="76"/>
    </row>
    <row r="416">
      <c r="AA416" s="76"/>
    </row>
    <row r="417">
      <c r="AA417" s="76"/>
    </row>
    <row r="418">
      <c r="AA418" s="76"/>
    </row>
    <row r="419">
      <c r="AA419" s="76"/>
    </row>
    <row r="420">
      <c r="AA420" s="76"/>
    </row>
    <row r="421">
      <c r="AA421" s="76"/>
    </row>
    <row r="422">
      <c r="AA422" s="76"/>
    </row>
    <row r="423">
      <c r="AA423" s="76"/>
    </row>
    <row r="424">
      <c r="AA424" s="76"/>
    </row>
    <row r="425">
      <c r="AA425" s="76"/>
    </row>
    <row r="426">
      <c r="AA426" s="76"/>
    </row>
    <row r="427">
      <c r="AA427" s="76"/>
    </row>
    <row r="428">
      <c r="AA428" s="76"/>
    </row>
    <row r="429">
      <c r="AA429" s="76"/>
    </row>
    <row r="430">
      <c r="AA430" s="76"/>
    </row>
    <row r="431">
      <c r="AA431" s="76"/>
    </row>
    <row r="432">
      <c r="AA432" s="76"/>
    </row>
    <row r="433">
      <c r="AA433" s="76"/>
    </row>
    <row r="434">
      <c r="AA434" s="76"/>
    </row>
    <row r="435">
      <c r="AA435" s="76"/>
    </row>
    <row r="436">
      <c r="AA436" s="76"/>
    </row>
    <row r="437">
      <c r="AA437" s="76"/>
    </row>
    <row r="438">
      <c r="AA438" s="76"/>
    </row>
    <row r="439">
      <c r="AA439" s="76"/>
    </row>
    <row r="440">
      <c r="AA440" s="76"/>
    </row>
    <row r="441">
      <c r="AA441" s="76"/>
    </row>
    <row r="442">
      <c r="AA442" s="76"/>
    </row>
    <row r="443">
      <c r="AA443" s="76"/>
    </row>
    <row r="444">
      <c r="AA444" s="76"/>
    </row>
    <row r="445">
      <c r="AA445" s="76"/>
    </row>
    <row r="446">
      <c r="AA446" s="76"/>
    </row>
    <row r="447">
      <c r="AA447" s="76"/>
    </row>
    <row r="448">
      <c r="AA448" s="76"/>
    </row>
    <row r="449">
      <c r="AA449" s="76"/>
    </row>
    <row r="450">
      <c r="AA450" s="76"/>
    </row>
    <row r="451">
      <c r="AA451" s="76"/>
    </row>
    <row r="452">
      <c r="AA452" s="76"/>
    </row>
    <row r="453">
      <c r="AA453" s="76"/>
    </row>
    <row r="454">
      <c r="AA454" s="76"/>
    </row>
    <row r="455">
      <c r="AA455" s="76"/>
    </row>
    <row r="456">
      <c r="AA456" s="76"/>
    </row>
    <row r="457">
      <c r="AA457" s="76"/>
    </row>
    <row r="458">
      <c r="AA458" s="76"/>
    </row>
    <row r="459">
      <c r="AA459" s="76"/>
    </row>
    <row r="460">
      <c r="AA460" s="76"/>
    </row>
    <row r="461">
      <c r="AA461" s="76"/>
    </row>
    <row r="462">
      <c r="AA462" s="76"/>
    </row>
    <row r="463">
      <c r="AA463" s="76"/>
    </row>
    <row r="464">
      <c r="AA464" s="76"/>
    </row>
    <row r="465">
      <c r="AA465" s="76"/>
    </row>
    <row r="466">
      <c r="AA466" s="76"/>
    </row>
    <row r="467">
      <c r="AA467" s="76"/>
    </row>
    <row r="468">
      <c r="AA468" s="76"/>
    </row>
    <row r="469">
      <c r="AA469" s="76"/>
    </row>
    <row r="470">
      <c r="AA470" s="76"/>
    </row>
    <row r="471">
      <c r="AA471" s="76"/>
    </row>
    <row r="472">
      <c r="AA472" s="76"/>
    </row>
    <row r="473">
      <c r="AA473" s="76"/>
    </row>
    <row r="474">
      <c r="AA474" s="76"/>
    </row>
    <row r="475">
      <c r="AA475" s="76"/>
    </row>
    <row r="476">
      <c r="AA476" s="76"/>
    </row>
    <row r="477">
      <c r="AA477" s="76"/>
    </row>
    <row r="478">
      <c r="AA478" s="76"/>
    </row>
    <row r="479">
      <c r="AA479" s="76"/>
    </row>
    <row r="480">
      <c r="AA480" s="76"/>
    </row>
    <row r="481">
      <c r="AA481" s="76"/>
    </row>
    <row r="482">
      <c r="AA482" s="76"/>
    </row>
    <row r="483">
      <c r="AA483" s="76"/>
    </row>
    <row r="484">
      <c r="AA484" s="76"/>
    </row>
    <row r="485">
      <c r="AA485" s="76"/>
    </row>
    <row r="486">
      <c r="AA486" s="76"/>
    </row>
    <row r="487">
      <c r="AA487" s="76"/>
    </row>
    <row r="488">
      <c r="AA488" s="76"/>
    </row>
    <row r="489">
      <c r="AA489" s="76"/>
    </row>
    <row r="490">
      <c r="AA490" s="76"/>
    </row>
    <row r="491">
      <c r="AA491" s="76"/>
    </row>
    <row r="492">
      <c r="AA492" s="76"/>
    </row>
    <row r="493">
      <c r="AA493" s="76"/>
    </row>
    <row r="494">
      <c r="AA494" s="76"/>
    </row>
    <row r="495">
      <c r="AA495" s="76"/>
    </row>
    <row r="496">
      <c r="AA496" s="76"/>
    </row>
    <row r="497">
      <c r="AA497" s="76"/>
    </row>
    <row r="498">
      <c r="AA498" s="76"/>
    </row>
    <row r="499">
      <c r="AA499" s="76"/>
    </row>
    <row r="500">
      <c r="AA500" s="76"/>
    </row>
    <row r="501">
      <c r="AA501" s="76"/>
    </row>
    <row r="502">
      <c r="AA502" s="76"/>
    </row>
    <row r="503">
      <c r="AA503" s="76"/>
    </row>
    <row r="504">
      <c r="AA504" s="76"/>
    </row>
    <row r="505">
      <c r="AA505" s="76"/>
    </row>
    <row r="506">
      <c r="AA506" s="76"/>
    </row>
    <row r="507">
      <c r="AA507" s="76"/>
    </row>
    <row r="508">
      <c r="AA508" s="76"/>
    </row>
    <row r="509">
      <c r="AA509" s="76"/>
    </row>
    <row r="510">
      <c r="AA510" s="76"/>
    </row>
    <row r="511">
      <c r="AA511" s="76"/>
    </row>
    <row r="512">
      <c r="AA512" s="76"/>
    </row>
    <row r="513">
      <c r="AA513" s="76"/>
    </row>
    <row r="514">
      <c r="AA514" s="76"/>
    </row>
    <row r="515">
      <c r="AA515" s="76"/>
    </row>
    <row r="516">
      <c r="AA516" s="76"/>
    </row>
    <row r="517">
      <c r="AA517" s="76"/>
    </row>
    <row r="518">
      <c r="AA518" s="76"/>
    </row>
    <row r="519">
      <c r="AA519" s="76"/>
    </row>
    <row r="520">
      <c r="AA520" s="76"/>
    </row>
    <row r="521">
      <c r="AA521" s="76"/>
    </row>
    <row r="522">
      <c r="AA522" s="76"/>
    </row>
    <row r="523">
      <c r="AA523" s="76"/>
    </row>
    <row r="524">
      <c r="AA524" s="76"/>
    </row>
    <row r="525">
      <c r="AA525" s="76"/>
    </row>
    <row r="526">
      <c r="AA526" s="76"/>
    </row>
    <row r="527">
      <c r="AA527" s="76"/>
    </row>
    <row r="528">
      <c r="AA528" s="76"/>
    </row>
    <row r="529">
      <c r="AA529" s="76"/>
    </row>
    <row r="530">
      <c r="AA530" s="76"/>
    </row>
    <row r="531">
      <c r="AA531" s="76"/>
    </row>
    <row r="532">
      <c r="AA532" s="76"/>
    </row>
    <row r="533">
      <c r="AA533" s="76"/>
    </row>
    <row r="534">
      <c r="AA534" s="76"/>
    </row>
    <row r="535">
      <c r="AA535" s="76"/>
    </row>
    <row r="536">
      <c r="AA536" s="76"/>
    </row>
    <row r="537">
      <c r="AA537" s="76"/>
    </row>
    <row r="538">
      <c r="AA538" s="76"/>
    </row>
    <row r="539">
      <c r="AA539" s="76"/>
    </row>
    <row r="540">
      <c r="AA540" s="76"/>
    </row>
    <row r="541">
      <c r="AA541" s="76"/>
    </row>
    <row r="542">
      <c r="AA542" s="76"/>
    </row>
    <row r="543">
      <c r="AA543" s="76"/>
    </row>
    <row r="544">
      <c r="AA544" s="76"/>
    </row>
    <row r="545">
      <c r="AA545" s="76"/>
    </row>
    <row r="546">
      <c r="AA546" s="76"/>
    </row>
    <row r="547">
      <c r="AA547" s="76"/>
    </row>
    <row r="548">
      <c r="AA548" s="76"/>
    </row>
    <row r="549">
      <c r="AA549" s="76"/>
    </row>
    <row r="550">
      <c r="AA550" s="76"/>
    </row>
    <row r="551">
      <c r="AA551" s="76"/>
    </row>
    <row r="552">
      <c r="AA552" s="76"/>
    </row>
    <row r="553">
      <c r="AA553" s="76"/>
    </row>
    <row r="554">
      <c r="AA554" s="76"/>
    </row>
    <row r="555">
      <c r="AA555" s="76"/>
    </row>
    <row r="556">
      <c r="AA556" s="76"/>
    </row>
    <row r="557">
      <c r="AA557" s="76"/>
    </row>
    <row r="558">
      <c r="AA558" s="76"/>
    </row>
    <row r="559">
      <c r="AA559" s="76"/>
    </row>
    <row r="560">
      <c r="AA560" s="76"/>
    </row>
    <row r="561">
      <c r="AA561" s="76"/>
    </row>
    <row r="562">
      <c r="AA562" s="76"/>
    </row>
    <row r="563">
      <c r="AA563" s="76"/>
    </row>
    <row r="564">
      <c r="AA564" s="76"/>
    </row>
    <row r="565">
      <c r="AA565" s="76"/>
    </row>
    <row r="566">
      <c r="AA566" s="76"/>
    </row>
    <row r="567">
      <c r="AA567" s="76"/>
    </row>
    <row r="568">
      <c r="AA568" s="76"/>
    </row>
    <row r="569">
      <c r="AA569" s="76"/>
    </row>
    <row r="570">
      <c r="AA570" s="76"/>
    </row>
    <row r="571">
      <c r="AA571" s="76"/>
    </row>
    <row r="572">
      <c r="AA572" s="76"/>
    </row>
    <row r="573">
      <c r="AA573" s="76"/>
    </row>
    <row r="574">
      <c r="AA574" s="76"/>
    </row>
    <row r="575">
      <c r="AA575" s="76"/>
    </row>
    <row r="576">
      <c r="AA576" s="76"/>
    </row>
    <row r="577">
      <c r="AA577" s="76"/>
    </row>
    <row r="578">
      <c r="AA578" s="76"/>
    </row>
    <row r="579">
      <c r="AA579" s="76"/>
    </row>
    <row r="580">
      <c r="AA580" s="76"/>
    </row>
    <row r="581">
      <c r="AA581" s="76"/>
    </row>
    <row r="582">
      <c r="AA582" s="76"/>
    </row>
    <row r="583">
      <c r="AA583" s="76"/>
    </row>
    <row r="584">
      <c r="AA584" s="76"/>
    </row>
    <row r="585">
      <c r="AA585" s="76"/>
    </row>
    <row r="586">
      <c r="AA586" s="76"/>
    </row>
    <row r="587">
      <c r="AA587" s="76"/>
    </row>
    <row r="588">
      <c r="AA588" s="76"/>
    </row>
    <row r="589">
      <c r="AA589" s="76"/>
    </row>
    <row r="590">
      <c r="AA590" s="76"/>
    </row>
    <row r="591">
      <c r="AA591" s="76"/>
    </row>
    <row r="592">
      <c r="AA592" s="76"/>
    </row>
    <row r="593">
      <c r="AA593" s="76"/>
    </row>
    <row r="594">
      <c r="AA594" s="76"/>
    </row>
    <row r="595">
      <c r="AA595" s="76"/>
    </row>
    <row r="596">
      <c r="AA596" s="76"/>
    </row>
    <row r="597">
      <c r="AA597" s="76"/>
    </row>
    <row r="598">
      <c r="AA598" s="76"/>
    </row>
    <row r="599">
      <c r="AA599" s="76"/>
    </row>
    <row r="600">
      <c r="AA600" s="76"/>
    </row>
    <row r="601">
      <c r="AA601" s="76"/>
    </row>
    <row r="602">
      <c r="AA602" s="76"/>
    </row>
    <row r="603">
      <c r="AA603" s="76"/>
    </row>
    <row r="604">
      <c r="AA604" s="76"/>
    </row>
    <row r="605">
      <c r="AA605" s="76"/>
    </row>
    <row r="606">
      <c r="AA606" s="76"/>
    </row>
    <row r="607">
      <c r="AA607" s="76"/>
    </row>
    <row r="608">
      <c r="AA608" s="76"/>
    </row>
    <row r="609">
      <c r="AA609" s="76"/>
    </row>
    <row r="610">
      <c r="AA610" s="76"/>
    </row>
    <row r="611">
      <c r="AA611" s="76"/>
    </row>
    <row r="612">
      <c r="AA612" s="76"/>
    </row>
    <row r="613">
      <c r="AA613" s="76"/>
    </row>
    <row r="614">
      <c r="AA614" s="76"/>
    </row>
    <row r="615">
      <c r="AA615" s="76"/>
    </row>
    <row r="616">
      <c r="AA616" s="76"/>
    </row>
    <row r="617">
      <c r="AA617" s="76"/>
    </row>
    <row r="618">
      <c r="AA618" s="76"/>
    </row>
    <row r="619">
      <c r="AA619" s="76"/>
    </row>
    <row r="620">
      <c r="AA620" s="76"/>
    </row>
    <row r="621">
      <c r="AA621" s="76"/>
    </row>
    <row r="622">
      <c r="AA622" s="76"/>
    </row>
    <row r="623">
      <c r="AA623" s="76"/>
    </row>
    <row r="624">
      <c r="AA624" s="76"/>
    </row>
    <row r="625">
      <c r="AA625" s="76"/>
    </row>
    <row r="626">
      <c r="AA626" s="76"/>
    </row>
    <row r="627">
      <c r="AA627" s="76"/>
    </row>
    <row r="628">
      <c r="AA628" s="76"/>
    </row>
    <row r="629">
      <c r="AA629" s="76"/>
    </row>
    <row r="630">
      <c r="AA630" s="76"/>
    </row>
    <row r="631">
      <c r="AA631" s="76"/>
    </row>
    <row r="632">
      <c r="AA632" s="76"/>
    </row>
    <row r="633">
      <c r="AA633" s="76"/>
    </row>
    <row r="634">
      <c r="AA634" s="76"/>
    </row>
    <row r="635">
      <c r="AA635" s="76"/>
    </row>
    <row r="636">
      <c r="AA636" s="76"/>
    </row>
    <row r="637">
      <c r="AA637" s="76"/>
    </row>
    <row r="638">
      <c r="AA638" s="76"/>
    </row>
    <row r="639">
      <c r="AA639" s="76"/>
    </row>
    <row r="640">
      <c r="AA640" s="76"/>
    </row>
    <row r="641">
      <c r="AA641" s="76"/>
    </row>
    <row r="642">
      <c r="AA642" s="76"/>
    </row>
    <row r="643">
      <c r="AA643" s="76"/>
    </row>
    <row r="644">
      <c r="AA644" s="76"/>
    </row>
    <row r="645">
      <c r="AA645" s="76"/>
    </row>
    <row r="646">
      <c r="AA646" s="76"/>
    </row>
    <row r="647">
      <c r="AA647" s="76"/>
    </row>
    <row r="648">
      <c r="AA648" s="76"/>
    </row>
    <row r="649">
      <c r="AA649" s="76"/>
    </row>
    <row r="650">
      <c r="AA650" s="76"/>
    </row>
    <row r="651">
      <c r="AA651" s="76"/>
    </row>
    <row r="652">
      <c r="AA652" s="76"/>
    </row>
    <row r="653">
      <c r="AA653" s="76"/>
    </row>
    <row r="654">
      <c r="AA654" s="76"/>
    </row>
    <row r="655">
      <c r="AA655" s="76"/>
    </row>
    <row r="656">
      <c r="AA656" s="76"/>
    </row>
    <row r="657">
      <c r="AA657" s="76"/>
    </row>
    <row r="658">
      <c r="AA658" s="76"/>
    </row>
    <row r="659">
      <c r="AA659" s="76"/>
    </row>
    <row r="660">
      <c r="AA660" s="76"/>
    </row>
    <row r="661">
      <c r="AA661" s="76"/>
    </row>
    <row r="662">
      <c r="AA662" s="76"/>
    </row>
    <row r="663">
      <c r="AA663" s="76"/>
    </row>
    <row r="664">
      <c r="AA664" s="76"/>
    </row>
    <row r="665">
      <c r="AA665" s="76"/>
    </row>
    <row r="666">
      <c r="AA666" s="76"/>
    </row>
    <row r="667">
      <c r="AA667" s="76"/>
    </row>
    <row r="668">
      <c r="AA668" s="76"/>
    </row>
    <row r="669">
      <c r="AA669" s="76"/>
    </row>
    <row r="670">
      <c r="AA670" s="76"/>
    </row>
    <row r="671">
      <c r="AA671" s="76"/>
    </row>
    <row r="672">
      <c r="AA672" s="76"/>
    </row>
    <row r="673">
      <c r="AA673" s="76"/>
    </row>
    <row r="674">
      <c r="AA674" s="76"/>
    </row>
    <row r="675">
      <c r="AA675" s="76"/>
    </row>
    <row r="676">
      <c r="AA676" s="76"/>
    </row>
    <row r="677">
      <c r="AA677" s="76"/>
    </row>
    <row r="678">
      <c r="AA678" s="76"/>
    </row>
    <row r="679">
      <c r="AA679" s="76"/>
    </row>
    <row r="680">
      <c r="AA680" s="76"/>
    </row>
    <row r="681">
      <c r="AA681" s="76"/>
    </row>
    <row r="682">
      <c r="AA682" s="76"/>
    </row>
    <row r="683">
      <c r="AA683" s="76"/>
    </row>
    <row r="684">
      <c r="AA684" s="76"/>
    </row>
    <row r="685">
      <c r="AA685" s="76"/>
    </row>
    <row r="686">
      <c r="AA686" s="76"/>
    </row>
    <row r="687">
      <c r="AA687" s="76"/>
    </row>
    <row r="688">
      <c r="AA688" s="76"/>
    </row>
    <row r="689">
      <c r="AA689" s="76"/>
    </row>
    <row r="690">
      <c r="AA690" s="76"/>
    </row>
    <row r="691">
      <c r="AA691" s="76"/>
    </row>
    <row r="692">
      <c r="AA692" s="76"/>
    </row>
    <row r="693">
      <c r="AA693" s="76"/>
    </row>
    <row r="694">
      <c r="AA694" s="76"/>
    </row>
    <row r="695">
      <c r="AA695" s="76"/>
    </row>
    <row r="696">
      <c r="AA696" s="76"/>
    </row>
    <row r="697">
      <c r="AA697" s="76"/>
    </row>
    <row r="698">
      <c r="AA698" s="76"/>
    </row>
    <row r="699">
      <c r="AA699" s="76"/>
    </row>
    <row r="700">
      <c r="AA700" s="76"/>
    </row>
    <row r="701">
      <c r="AA701" s="76"/>
    </row>
    <row r="702">
      <c r="AA702" s="76"/>
    </row>
    <row r="703">
      <c r="AA703" s="76"/>
    </row>
    <row r="704">
      <c r="AA704" s="76"/>
    </row>
    <row r="705">
      <c r="AA705" s="76"/>
    </row>
    <row r="706">
      <c r="AA706" s="76"/>
    </row>
    <row r="707">
      <c r="AA707" s="76"/>
    </row>
    <row r="708">
      <c r="AA708" s="76"/>
    </row>
    <row r="709">
      <c r="AA709" s="76"/>
    </row>
    <row r="710">
      <c r="AA710" s="76"/>
    </row>
    <row r="711">
      <c r="AA711" s="76"/>
    </row>
    <row r="712">
      <c r="AA712" s="76"/>
    </row>
    <row r="713">
      <c r="AA713" s="76"/>
    </row>
    <row r="714">
      <c r="AA714" s="76"/>
    </row>
    <row r="715">
      <c r="AA715" s="76"/>
    </row>
    <row r="716">
      <c r="AA716" s="76"/>
    </row>
    <row r="717">
      <c r="AA717" s="76"/>
    </row>
    <row r="718">
      <c r="AA718" s="76"/>
    </row>
    <row r="719">
      <c r="AA719" s="76"/>
    </row>
    <row r="720">
      <c r="AA720" s="76"/>
    </row>
    <row r="721">
      <c r="AA721" s="76"/>
    </row>
    <row r="722">
      <c r="AA722" s="76"/>
    </row>
    <row r="723">
      <c r="AA723" s="76"/>
    </row>
    <row r="724">
      <c r="AA724" s="76"/>
    </row>
    <row r="725">
      <c r="AA725" s="76"/>
    </row>
    <row r="726">
      <c r="AA726" s="76"/>
    </row>
    <row r="727">
      <c r="AA727" s="76"/>
    </row>
    <row r="728">
      <c r="AA728" s="76"/>
    </row>
    <row r="729">
      <c r="AA729" s="76"/>
    </row>
    <row r="730">
      <c r="AA730" s="76"/>
    </row>
    <row r="731">
      <c r="AA731" s="76"/>
    </row>
    <row r="732">
      <c r="AA732" s="76"/>
    </row>
    <row r="733">
      <c r="AA733" s="76"/>
    </row>
    <row r="734">
      <c r="AA734" s="76"/>
    </row>
    <row r="735">
      <c r="AA735" s="76"/>
    </row>
    <row r="736">
      <c r="AA736" s="76"/>
    </row>
    <row r="737">
      <c r="AA737" s="76"/>
    </row>
    <row r="738">
      <c r="AA738" s="76"/>
    </row>
    <row r="739">
      <c r="AA739" s="76"/>
    </row>
    <row r="740">
      <c r="AA740" s="76"/>
    </row>
    <row r="741">
      <c r="AA741" s="76"/>
    </row>
    <row r="742">
      <c r="AA742" s="76"/>
    </row>
    <row r="743">
      <c r="AA743" s="76"/>
    </row>
    <row r="744">
      <c r="AA744" s="76"/>
    </row>
    <row r="745">
      <c r="AA745" s="76"/>
    </row>
    <row r="746">
      <c r="AA746" s="76"/>
    </row>
    <row r="747">
      <c r="AA747" s="76"/>
    </row>
    <row r="748">
      <c r="AA748" s="76"/>
    </row>
    <row r="749">
      <c r="AA749" s="76"/>
    </row>
    <row r="750">
      <c r="AA750" s="76"/>
    </row>
    <row r="751">
      <c r="AA751" s="76"/>
    </row>
    <row r="752">
      <c r="AA752" s="76"/>
    </row>
    <row r="753">
      <c r="AA753" s="76"/>
    </row>
    <row r="754">
      <c r="AA754" s="76"/>
    </row>
    <row r="755">
      <c r="AA755" s="76"/>
    </row>
    <row r="756">
      <c r="AA756" s="76"/>
    </row>
    <row r="757">
      <c r="AA757" s="76"/>
    </row>
    <row r="758">
      <c r="AA758" s="76"/>
    </row>
    <row r="759">
      <c r="AA759" s="76"/>
    </row>
    <row r="760">
      <c r="AA760" s="76"/>
    </row>
    <row r="761">
      <c r="AA761" s="76"/>
    </row>
    <row r="762">
      <c r="AA762" s="76"/>
    </row>
    <row r="763">
      <c r="AA763" s="76"/>
    </row>
    <row r="764">
      <c r="AA764" s="76"/>
    </row>
    <row r="765">
      <c r="AA765" s="76"/>
    </row>
    <row r="766">
      <c r="AA766" s="76"/>
    </row>
    <row r="767">
      <c r="AA767" s="76"/>
    </row>
    <row r="768">
      <c r="AA768" s="76"/>
    </row>
    <row r="769">
      <c r="AA769" s="76"/>
    </row>
    <row r="770">
      <c r="AA770" s="76"/>
    </row>
    <row r="771">
      <c r="AA771" s="76"/>
    </row>
    <row r="772">
      <c r="AA772" s="76"/>
    </row>
    <row r="773">
      <c r="AA773" s="76"/>
    </row>
    <row r="774">
      <c r="AA774" s="76"/>
    </row>
    <row r="775">
      <c r="AA775" s="76"/>
    </row>
    <row r="776">
      <c r="AA776" s="76"/>
    </row>
    <row r="777">
      <c r="AA777" s="76"/>
    </row>
    <row r="778">
      <c r="AA778" s="76"/>
    </row>
    <row r="779">
      <c r="AA779" s="76"/>
    </row>
    <row r="780">
      <c r="AA780" s="76"/>
    </row>
    <row r="781">
      <c r="AA781" s="76"/>
    </row>
    <row r="782">
      <c r="AA782" s="76"/>
    </row>
    <row r="783">
      <c r="AA783" s="76"/>
    </row>
    <row r="784">
      <c r="AA784" s="76"/>
    </row>
    <row r="785">
      <c r="AA785" s="76"/>
    </row>
    <row r="786">
      <c r="AA786" s="76"/>
    </row>
    <row r="787">
      <c r="AA787" s="76"/>
    </row>
    <row r="788">
      <c r="AA788" s="76"/>
    </row>
    <row r="789">
      <c r="AA789" s="76"/>
    </row>
    <row r="790">
      <c r="AA790" s="76"/>
    </row>
    <row r="791">
      <c r="AA791" s="76"/>
    </row>
    <row r="792">
      <c r="AA792" s="76"/>
    </row>
    <row r="793">
      <c r="AA793" s="76"/>
    </row>
    <row r="794">
      <c r="AA794" s="76"/>
    </row>
    <row r="795">
      <c r="AA795" s="76"/>
    </row>
    <row r="796">
      <c r="AA796" s="76"/>
    </row>
    <row r="797">
      <c r="AA797" s="76"/>
    </row>
    <row r="798">
      <c r="AA798" s="76"/>
    </row>
    <row r="799">
      <c r="AA799" s="76"/>
    </row>
    <row r="800">
      <c r="AA800" s="76"/>
    </row>
    <row r="801">
      <c r="AA801" s="76"/>
    </row>
    <row r="802">
      <c r="AA802" s="76"/>
    </row>
    <row r="803">
      <c r="AA803" s="76"/>
    </row>
    <row r="804">
      <c r="AA804" s="76"/>
    </row>
    <row r="805">
      <c r="AA805" s="76"/>
    </row>
    <row r="806">
      <c r="AA806" s="76"/>
    </row>
    <row r="807">
      <c r="AA807" s="76"/>
    </row>
    <row r="808">
      <c r="AA808" s="76"/>
    </row>
    <row r="809">
      <c r="AA809" s="76"/>
    </row>
    <row r="810">
      <c r="AA810" s="76"/>
    </row>
    <row r="811">
      <c r="AA811" s="76"/>
    </row>
    <row r="812">
      <c r="AA812" s="76"/>
    </row>
    <row r="813">
      <c r="AA813" s="76"/>
    </row>
    <row r="814">
      <c r="AA814" s="76"/>
    </row>
    <row r="815">
      <c r="AA815" s="76"/>
    </row>
    <row r="816">
      <c r="AA816" s="76"/>
    </row>
    <row r="817">
      <c r="AA817" s="76"/>
    </row>
    <row r="818">
      <c r="AA818" s="76"/>
    </row>
    <row r="819">
      <c r="AA819" s="76"/>
    </row>
    <row r="820">
      <c r="AA820" s="76"/>
    </row>
    <row r="821">
      <c r="AA821" s="76"/>
    </row>
    <row r="822">
      <c r="AA822" s="76"/>
    </row>
    <row r="823">
      <c r="AA823" s="76"/>
    </row>
    <row r="824">
      <c r="AA824" s="76"/>
    </row>
    <row r="825">
      <c r="AA825" s="76"/>
    </row>
    <row r="826">
      <c r="AA826" s="76"/>
    </row>
    <row r="827">
      <c r="AA827" s="76"/>
    </row>
    <row r="828">
      <c r="AA828" s="76"/>
    </row>
    <row r="829">
      <c r="AA829" s="76"/>
    </row>
    <row r="830">
      <c r="AA830" s="76"/>
    </row>
    <row r="831">
      <c r="AA831" s="76"/>
    </row>
    <row r="832">
      <c r="AA832" s="76"/>
    </row>
    <row r="833">
      <c r="AA833" s="76"/>
    </row>
    <row r="834">
      <c r="AA834" s="76"/>
    </row>
    <row r="835">
      <c r="AA835" s="76"/>
    </row>
    <row r="836">
      <c r="AA836" s="76"/>
    </row>
    <row r="837">
      <c r="AA837" s="76"/>
    </row>
    <row r="838">
      <c r="AA838" s="76"/>
    </row>
    <row r="839">
      <c r="AA839" s="76"/>
    </row>
    <row r="840">
      <c r="AA840" s="76"/>
    </row>
    <row r="841">
      <c r="AA841" s="76"/>
    </row>
    <row r="842">
      <c r="AA842" s="76"/>
    </row>
    <row r="843">
      <c r="AA843" s="76"/>
    </row>
    <row r="844">
      <c r="AA844" s="76"/>
    </row>
    <row r="845">
      <c r="AA845" s="76"/>
    </row>
    <row r="846">
      <c r="AA846" s="76"/>
    </row>
    <row r="847">
      <c r="AA847" s="76"/>
    </row>
    <row r="848">
      <c r="AA848" s="76"/>
    </row>
    <row r="849">
      <c r="AA849" s="76"/>
    </row>
    <row r="850">
      <c r="AA850" s="76"/>
    </row>
    <row r="851">
      <c r="AA851" s="76"/>
    </row>
    <row r="852">
      <c r="AA852" s="76"/>
    </row>
    <row r="853">
      <c r="AA853" s="76"/>
    </row>
    <row r="854">
      <c r="AA854" s="76"/>
    </row>
    <row r="855">
      <c r="AA855" s="76"/>
    </row>
    <row r="856">
      <c r="AA856" s="76"/>
    </row>
    <row r="857">
      <c r="AA857" s="76"/>
    </row>
    <row r="858">
      <c r="AA858" s="76"/>
    </row>
    <row r="859">
      <c r="AA859" s="76"/>
    </row>
    <row r="860">
      <c r="AA860" s="76"/>
    </row>
    <row r="861">
      <c r="AA861" s="76"/>
    </row>
    <row r="862">
      <c r="AA862" s="76"/>
    </row>
    <row r="863">
      <c r="AA863" s="76"/>
    </row>
    <row r="864">
      <c r="AA864" s="76"/>
    </row>
    <row r="865">
      <c r="AA865" s="76"/>
    </row>
    <row r="866">
      <c r="AA866" s="76"/>
    </row>
    <row r="867">
      <c r="AA867" s="76"/>
    </row>
    <row r="868">
      <c r="AA868" s="76"/>
    </row>
    <row r="869">
      <c r="AA869" s="76"/>
    </row>
    <row r="870">
      <c r="AA870" s="76"/>
    </row>
    <row r="871">
      <c r="AA871" s="76"/>
    </row>
    <row r="872">
      <c r="AA872" s="76"/>
    </row>
    <row r="873">
      <c r="AA873" s="76"/>
    </row>
    <row r="874">
      <c r="AA874" s="76"/>
    </row>
    <row r="875">
      <c r="AA875" s="76"/>
    </row>
    <row r="876">
      <c r="AA876" s="76"/>
    </row>
    <row r="877">
      <c r="AA877" s="76"/>
    </row>
    <row r="878">
      <c r="AA878" s="76"/>
    </row>
    <row r="879">
      <c r="AA879" s="76"/>
    </row>
    <row r="880">
      <c r="AA880" s="76"/>
    </row>
    <row r="881">
      <c r="AA881" s="76"/>
    </row>
    <row r="882">
      <c r="AA882" s="76"/>
    </row>
    <row r="883">
      <c r="AA883" s="76"/>
    </row>
    <row r="884">
      <c r="AA884" s="76"/>
    </row>
    <row r="885">
      <c r="AA885" s="76"/>
    </row>
    <row r="886">
      <c r="AA886" s="76"/>
    </row>
    <row r="887">
      <c r="AA887" s="76"/>
    </row>
    <row r="888">
      <c r="AA888" s="76"/>
    </row>
    <row r="889">
      <c r="AA889" s="76"/>
    </row>
    <row r="890">
      <c r="AA890" s="76"/>
    </row>
    <row r="891">
      <c r="AA891" s="76"/>
    </row>
    <row r="892">
      <c r="AA892" s="76"/>
    </row>
    <row r="893">
      <c r="AA893" s="76"/>
    </row>
    <row r="894">
      <c r="AA894" s="76"/>
    </row>
    <row r="895">
      <c r="AA895" s="76"/>
    </row>
    <row r="896">
      <c r="AA896" s="76"/>
    </row>
    <row r="897">
      <c r="AA897" s="76"/>
    </row>
    <row r="898">
      <c r="AA898" s="76"/>
    </row>
    <row r="899">
      <c r="AA899" s="76"/>
    </row>
    <row r="900">
      <c r="AA900" s="76"/>
    </row>
    <row r="901">
      <c r="AA901" s="76"/>
    </row>
    <row r="902">
      <c r="AA902" s="76"/>
    </row>
    <row r="903">
      <c r="AA903" s="76"/>
    </row>
    <row r="904">
      <c r="AA904" s="76"/>
    </row>
    <row r="905">
      <c r="AA905" s="76"/>
    </row>
    <row r="906">
      <c r="AA906" s="76"/>
    </row>
    <row r="907">
      <c r="AA907" s="76"/>
    </row>
    <row r="908">
      <c r="AA908" s="76"/>
    </row>
    <row r="909">
      <c r="AA909" s="76"/>
    </row>
    <row r="910">
      <c r="AA910" s="76"/>
    </row>
    <row r="911">
      <c r="AA911" s="76"/>
    </row>
    <row r="912">
      <c r="AA912" s="76"/>
    </row>
    <row r="913">
      <c r="AA913" s="76"/>
    </row>
    <row r="914">
      <c r="AA914" s="76"/>
    </row>
    <row r="915">
      <c r="AA915" s="76"/>
    </row>
    <row r="916">
      <c r="AA916" s="76"/>
    </row>
    <row r="917">
      <c r="AA917" s="76"/>
    </row>
    <row r="918">
      <c r="AA918" s="76"/>
    </row>
    <row r="919">
      <c r="AA919" s="76"/>
    </row>
    <row r="920">
      <c r="AA920" s="76"/>
    </row>
    <row r="921">
      <c r="AA921" s="76"/>
    </row>
    <row r="922">
      <c r="AA922" s="76"/>
    </row>
    <row r="923">
      <c r="AA923" s="76"/>
    </row>
    <row r="924">
      <c r="AA924" s="76"/>
    </row>
    <row r="925">
      <c r="AA925" s="76"/>
    </row>
    <row r="926">
      <c r="AA926" s="76"/>
    </row>
    <row r="927">
      <c r="AA927" s="76"/>
    </row>
    <row r="928">
      <c r="AA928" s="76"/>
    </row>
    <row r="929">
      <c r="AA929" s="76"/>
    </row>
    <row r="930">
      <c r="AA930" s="76"/>
    </row>
    <row r="931">
      <c r="AA931" s="76"/>
    </row>
    <row r="932">
      <c r="AA932" s="76"/>
    </row>
    <row r="933">
      <c r="AA933" s="76"/>
    </row>
    <row r="934">
      <c r="AA934" s="76"/>
    </row>
    <row r="935">
      <c r="AA935" s="76"/>
    </row>
    <row r="936">
      <c r="AA936" s="76"/>
    </row>
    <row r="937">
      <c r="AA937" s="76"/>
    </row>
    <row r="938">
      <c r="AA938" s="76"/>
    </row>
    <row r="939">
      <c r="AA939" s="76"/>
    </row>
    <row r="940">
      <c r="AA940" s="76"/>
    </row>
    <row r="941">
      <c r="AA941" s="76"/>
    </row>
    <row r="942">
      <c r="AA942" s="76"/>
    </row>
    <row r="943">
      <c r="AA943" s="76"/>
    </row>
    <row r="944">
      <c r="AA944" s="76"/>
    </row>
    <row r="945">
      <c r="AA945" s="76"/>
    </row>
    <row r="946">
      <c r="AA946" s="76"/>
    </row>
    <row r="947">
      <c r="AA947" s="76"/>
    </row>
    <row r="948">
      <c r="AA948" s="76"/>
    </row>
    <row r="949">
      <c r="AA949" s="76"/>
    </row>
    <row r="950">
      <c r="AA950" s="76"/>
    </row>
    <row r="951">
      <c r="AA951" s="76"/>
    </row>
    <row r="952">
      <c r="AA952" s="76"/>
    </row>
    <row r="953">
      <c r="AA953" s="76"/>
    </row>
    <row r="954">
      <c r="AA954" s="76"/>
    </row>
    <row r="955">
      <c r="AA955" s="76"/>
    </row>
    <row r="956">
      <c r="AA956" s="76"/>
    </row>
    <row r="957">
      <c r="AA957" s="76"/>
    </row>
    <row r="958">
      <c r="AA958" s="76"/>
    </row>
    <row r="959">
      <c r="AA959" s="76"/>
    </row>
    <row r="960">
      <c r="AA960" s="76"/>
    </row>
    <row r="961">
      <c r="AA961" s="76"/>
    </row>
    <row r="962">
      <c r="AA962" s="76"/>
    </row>
    <row r="963">
      <c r="AA963" s="76"/>
    </row>
    <row r="964">
      <c r="AA964" s="76"/>
    </row>
    <row r="965">
      <c r="AA965" s="76"/>
    </row>
    <row r="966">
      <c r="AA966" s="76"/>
    </row>
    <row r="967">
      <c r="AA967" s="76"/>
    </row>
    <row r="968">
      <c r="AA968" s="76"/>
    </row>
    <row r="969">
      <c r="AA969" s="76"/>
    </row>
    <row r="970">
      <c r="AA970" s="76"/>
    </row>
    <row r="971">
      <c r="AA971" s="76"/>
    </row>
    <row r="972">
      <c r="AA972" s="76"/>
    </row>
    <row r="973">
      <c r="AA973" s="76"/>
    </row>
    <row r="974">
      <c r="AA974" s="76"/>
    </row>
    <row r="975">
      <c r="AA975" s="76"/>
    </row>
    <row r="976">
      <c r="AA976" s="76"/>
    </row>
    <row r="977">
      <c r="AA977" s="76"/>
    </row>
    <row r="978">
      <c r="AA978" s="76"/>
    </row>
    <row r="979">
      <c r="AA979" s="76"/>
    </row>
    <row r="980">
      <c r="AA980" s="76"/>
    </row>
    <row r="981">
      <c r="AA981" s="76"/>
    </row>
    <row r="982">
      <c r="AA982" s="76"/>
    </row>
    <row r="983">
      <c r="AA983" s="76"/>
    </row>
    <row r="984">
      <c r="AA984" s="76"/>
    </row>
    <row r="985">
      <c r="AA985" s="76"/>
    </row>
    <row r="986">
      <c r="AA986" s="76"/>
    </row>
    <row r="987">
      <c r="AA987" s="76"/>
    </row>
    <row r="988">
      <c r="AA988" s="76"/>
    </row>
    <row r="989">
      <c r="AA989" s="76"/>
    </row>
    <row r="990">
      <c r="AA990" s="76"/>
    </row>
    <row r="991">
      <c r="AA991" s="76"/>
    </row>
    <row r="992">
      <c r="AA992" s="76"/>
    </row>
    <row r="993">
      <c r="AA993" s="76"/>
    </row>
    <row r="994">
      <c r="AA994" s="76"/>
    </row>
    <row r="995">
      <c r="AA995" s="76"/>
    </row>
    <row r="996">
      <c r="AA996" s="76"/>
    </row>
    <row r="997">
      <c r="AA997" s="76"/>
    </row>
    <row r="998">
      <c r="AA998" s="76"/>
    </row>
  </sheetData>
  <mergeCells count="31">
    <mergeCell ref="N4:N8"/>
    <mergeCell ref="N9:N12"/>
    <mergeCell ref="O12:P12"/>
    <mergeCell ref="N13:N17"/>
    <mergeCell ref="O17:P17"/>
    <mergeCell ref="W17:AA17"/>
    <mergeCell ref="W24:AA24"/>
    <mergeCell ref="B1:H1"/>
    <mergeCell ref="N2:T2"/>
    <mergeCell ref="W2:AA2"/>
    <mergeCell ref="B3:B7"/>
    <mergeCell ref="C7:D7"/>
    <mergeCell ref="O8:P8"/>
    <mergeCell ref="W9:AA9"/>
    <mergeCell ref="B8:B11"/>
    <mergeCell ref="C11:D11"/>
    <mergeCell ref="B12:B16"/>
    <mergeCell ref="C16:D16"/>
    <mergeCell ref="B17:D17"/>
    <mergeCell ref="B21:H21"/>
    <mergeCell ref="C27:D27"/>
    <mergeCell ref="B48:B51"/>
    <mergeCell ref="B52:B56"/>
    <mergeCell ref="B23:B27"/>
    <mergeCell ref="B28:B31"/>
    <mergeCell ref="C31:D31"/>
    <mergeCell ref="B32:B36"/>
    <mergeCell ref="B43:B47"/>
    <mergeCell ref="C47:D47"/>
    <mergeCell ref="C51:D51"/>
    <mergeCell ref="C56:D56"/>
  </mergeCells>
  <conditionalFormatting sqref="S3:T7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S9:T1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S13:T16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2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75"/>
    <col customWidth="1" min="3" max="3" width="22.75"/>
    <col customWidth="1" min="4" max="5" width="34.38"/>
    <col customWidth="1" min="6" max="7" width="25.5"/>
    <col customWidth="1" min="8" max="8" width="14.0"/>
    <col customWidth="1" min="9" max="9" width="9.5"/>
    <col customWidth="1" min="10" max="10" width="29.63"/>
    <col customWidth="1" min="12" max="12" width="6.0"/>
  </cols>
  <sheetData>
    <row r="1">
      <c r="B1" s="79"/>
      <c r="D1" s="75"/>
      <c r="E1" s="75"/>
      <c r="F1" s="75"/>
      <c r="G1" s="75"/>
    </row>
    <row r="2">
      <c r="G2" s="158"/>
      <c r="H2" s="159" t="s">
        <v>1753</v>
      </c>
      <c r="I2" s="160" t="s">
        <v>1754</v>
      </c>
      <c r="J2" s="2"/>
      <c r="K2" s="3"/>
    </row>
    <row r="3">
      <c r="G3" s="162"/>
      <c r="H3" s="162">
        <f t="shared" ref="H3:H23" si="1">SUM(C3:F3)</f>
        <v>471.7772727</v>
      </c>
      <c r="I3" s="163">
        <v>1.0</v>
      </c>
      <c r="J3" s="164" t="str">
        <f>IFERROR(__xludf.DUMMYFUNCTION("QUERY(B2:H23,""SELECT B,H ORDER BY H DESC LIMIT 5"",0)"),"Grand Total")</f>
        <v>Grand Total</v>
      </c>
      <c r="K3" s="165">
        <f>IFERROR(__xludf.DUMMYFUNCTION("""COMPUTED_VALUE"""),4653.113636363637)</f>
        <v>4653.113636</v>
      </c>
    </row>
    <row r="4">
      <c r="G4" s="162"/>
      <c r="H4" s="162">
        <f t="shared" si="1"/>
        <v>407.3363636</v>
      </c>
      <c r="I4" s="166">
        <v>2.0</v>
      </c>
      <c r="J4" s="167" t="str">
        <f>IFERROR(__xludf.DUMMYFUNCTION("""COMPUTED_VALUE"""),"Adit")</f>
        <v>Adit</v>
      </c>
      <c r="K4" s="168">
        <f>IFERROR(__xludf.DUMMYFUNCTION("""COMPUTED_VALUE"""),471.7772727272732)</f>
        <v>471.7772727</v>
      </c>
    </row>
    <row r="5">
      <c r="G5" s="162"/>
      <c r="H5" s="162">
        <f t="shared" si="1"/>
        <v>311</v>
      </c>
      <c r="I5" s="169">
        <v>3.0</v>
      </c>
      <c r="J5" s="13" t="str">
        <f>IFERROR(__xludf.DUMMYFUNCTION("""COMPUTED_VALUE"""),"aulia farah ")</f>
        <v>aulia farah </v>
      </c>
      <c r="K5" s="170">
        <f>IFERROR(__xludf.DUMMYFUNCTION("""COMPUTED_VALUE"""),407.3363636363638)</f>
        <v>407.3363636</v>
      </c>
    </row>
    <row r="6">
      <c r="G6" s="162"/>
      <c r="H6" s="162">
        <f t="shared" si="1"/>
        <v>264</v>
      </c>
      <c r="I6" s="169">
        <v>4.0</v>
      </c>
      <c r="J6" s="13" t="str">
        <f>IFERROR(__xludf.DUMMYFUNCTION("""COMPUTED_VALUE"""),"vina lailatul")</f>
        <v>vina lailatul</v>
      </c>
      <c r="K6" s="170">
        <f>IFERROR(__xludf.DUMMYFUNCTION("""COMPUTED_VALUE"""),387.0)</f>
        <v>387</v>
      </c>
    </row>
    <row r="7">
      <c r="G7" s="162"/>
      <c r="H7" s="162">
        <f t="shared" si="1"/>
        <v>86</v>
      </c>
      <c r="I7" s="169">
        <v>5.0</v>
      </c>
      <c r="J7" s="13" t="str">
        <f>IFERROR(__xludf.DUMMYFUNCTION("""COMPUTED_VALUE"""),"Fandi Ahmad")</f>
        <v>Fandi Ahmad</v>
      </c>
      <c r="K7" s="170">
        <f>IFERROR(__xludf.DUMMYFUNCTION("""COMPUTED_VALUE"""),384.0)</f>
        <v>384</v>
      </c>
    </row>
    <row r="8">
      <c r="G8" s="162"/>
      <c r="H8" s="162">
        <f t="shared" si="1"/>
        <v>160</v>
      </c>
    </row>
    <row r="9">
      <c r="G9" s="162"/>
      <c r="H9" s="162">
        <f t="shared" si="1"/>
        <v>120</v>
      </c>
    </row>
    <row r="10" hidden="1">
      <c r="G10" s="162"/>
      <c r="H10" s="162">
        <f t="shared" si="1"/>
        <v>176</v>
      </c>
    </row>
    <row r="11">
      <c r="G11" s="162"/>
      <c r="H11" s="162">
        <f t="shared" si="1"/>
        <v>384</v>
      </c>
    </row>
    <row r="12">
      <c r="G12" s="162"/>
      <c r="H12" s="162">
        <f t="shared" si="1"/>
        <v>334</v>
      </c>
    </row>
    <row r="13">
      <c r="G13" s="162"/>
      <c r="H13" s="162">
        <f t="shared" si="1"/>
        <v>25</v>
      </c>
    </row>
    <row r="14">
      <c r="G14" s="162"/>
      <c r="H14" s="162">
        <f t="shared" si="1"/>
        <v>204</v>
      </c>
    </row>
    <row r="15" ht="18.75" customHeight="1">
      <c r="G15" s="162"/>
      <c r="H15" s="162">
        <f t="shared" si="1"/>
        <v>261</v>
      </c>
    </row>
    <row r="16" hidden="1">
      <c r="G16" s="162"/>
      <c r="H16" s="162">
        <f t="shared" si="1"/>
        <v>1</v>
      </c>
    </row>
    <row r="17">
      <c r="G17" s="162"/>
      <c r="H17" s="162">
        <f t="shared" si="1"/>
        <v>140</v>
      </c>
    </row>
    <row r="18">
      <c r="G18" s="162"/>
      <c r="H18" s="162">
        <f t="shared" si="1"/>
        <v>308</v>
      </c>
    </row>
    <row r="19">
      <c r="G19" s="162"/>
      <c r="H19" s="162">
        <f t="shared" si="1"/>
        <v>211</v>
      </c>
    </row>
    <row r="20">
      <c r="G20" s="162"/>
      <c r="H20" s="162">
        <f t="shared" si="1"/>
        <v>227</v>
      </c>
    </row>
    <row r="21">
      <c r="G21" s="162"/>
      <c r="H21" s="162">
        <f t="shared" si="1"/>
        <v>175</v>
      </c>
    </row>
    <row r="22">
      <c r="G22" s="162"/>
      <c r="H22" s="162">
        <f t="shared" si="1"/>
        <v>387</v>
      </c>
    </row>
    <row r="23">
      <c r="G23" s="162"/>
      <c r="H23" s="162">
        <f t="shared" si="1"/>
        <v>4653.113636</v>
      </c>
    </row>
    <row r="24">
      <c r="B24" s="161"/>
      <c r="D24" s="75"/>
      <c r="E24" s="75"/>
      <c r="F24" s="75"/>
      <c r="G24" s="162"/>
      <c r="H24" s="162"/>
    </row>
    <row r="25">
      <c r="B25" s="171"/>
      <c r="C25" s="172"/>
      <c r="D25" s="173"/>
      <c r="E25" s="173"/>
      <c r="F25" s="173"/>
      <c r="G25" s="174"/>
      <c r="H25" s="174"/>
    </row>
    <row r="26">
      <c r="B26" s="79"/>
      <c r="D26" s="75"/>
      <c r="E26" s="75"/>
      <c r="F26" s="75"/>
      <c r="G26" s="75"/>
    </row>
    <row r="27">
      <c r="H27" s="159" t="s">
        <v>1753</v>
      </c>
      <c r="I27" s="160" t="s">
        <v>1755</v>
      </c>
      <c r="J27" s="2"/>
      <c r="K27" s="3"/>
    </row>
    <row r="28">
      <c r="H28" s="162">
        <f t="shared" ref="H28:H37" si="2">SUM(D28:G28)</f>
        <v>94.23636364</v>
      </c>
      <c r="I28" s="163">
        <v>1.0</v>
      </c>
      <c r="J28" s="164" t="str">
        <f>IFERROR(__xludf.DUMMYFUNCTION("QUERY(B27:H62,""SELECT C,H ORDER BY H DESC LIMIT 5"",0)"),"")</f>
        <v/>
      </c>
      <c r="K28" s="165">
        <f>IFERROR(__xludf.DUMMYFUNCTION("""COMPUTED_VALUE"""),1229.0)</f>
        <v>1229</v>
      </c>
    </row>
    <row r="29">
      <c r="H29" s="162">
        <f t="shared" si="2"/>
        <v>274</v>
      </c>
      <c r="I29" s="166">
        <v>2.0</v>
      </c>
      <c r="J29" s="167"/>
      <c r="K29" s="168">
        <f>IFERROR(__xludf.DUMMYFUNCTION("""COMPUTED_VALUE"""),1062.0)</f>
        <v>1062</v>
      </c>
    </row>
    <row r="30">
      <c r="H30" s="162">
        <f t="shared" si="2"/>
        <v>259</v>
      </c>
      <c r="I30" s="169">
        <v>3.0</v>
      </c>
      <c r="J30" s="13" t="str">
        <f>IFERROR(__xludf.DUMMYFUNCTION("""COMPUTED_VALUE"""),"Zazha Adelia Soetikno")</f>
        <v>Zazha Adelia Soetikno</v>
      </c>
      <c r="K30" s="170">
        <f>IFERROR(__xludf.DUMMYFUNCTION("""COMPUTED_VALUE"""),616.0)</f>
        <v>616</v>
      </c>
    </row>
    <row r="31">
      <c r="H31" s="162">
        <f t="shared" si="2"/>
        <v>499</v>
      </c>
      <c r="I31" s="169">
        <v>4.0</v>
      </c>
      <c r="J31" s="13" t="str">
        <f>IFERROR(__xludf.DUMMYFUNCTION("""COMPUTED_VALUE"""),"M Mikail Azka (Kaka)")</f>
        <v>M Mikail Azka (Kaka)</v>
      </c>
      <c r="K31" s="170">
        <f>IFERROR(__xludf.DUMMYFUNCTION("""COMPUTED_VALUE"""),499.0)</f>
        <v>499</v>
      </c>
    </row>
    <row r="32">
      <c r="H32" s="162">
        <f t="shared" si="2"/>
        <v>336</v>
      </c>
      <c r="I32" s="169">
        <v>5.0</v>
      </c>
      <c r="J32" s="13" t="str">
        <f>IFERROR(__xludf.DUMMYFUNCTION("""COMPUTED_VALUE"""),"Nurul Hidayah")</f>
        <v>Nurul Hidayah</v>
      </c>
      <c r="K32" s="170">
        <f>IFERROR(__xludf.DUMMYFUNCTION("""COMPUTED_VALUE"""),477.0)</f>
        <v>477</v>
      </c>
    </row>
    <row r="33">
      <c r="H33" s="162">
        <f t="shared" si="2"/>
        <v>340</v>
      </c>
    </row>
    <row r="34">
      <c r="H34" s="162">
        <f t="shared" si="2"/>
        <v>477</v>
      </c>
    </row>
    <row r="35">
      <c r="H35" s="162">
        <f t="shared" si="2"/>
        <v>94</v>
      </c>
    </row>
    <row r="36">
      <c r="H36" s="162">
        <f t="shared" si="2"/>
        <v>616</v>
      </c>
    </row>
    <row r="37">
      <c r="H37" s="162">
        <f t="shared" si="2"/>
        <v>161</v>
      </c>
    </row>
    <row r="38" hidden="1">
      <c r="H38" s="162"/>
    </row>
    <row r="39" hidden="1">
      <c r="H39" s="162"/>
    </row>
    <row r="40">
      <c r="H40" s="162">
        <f t="shared" ref="H40:H44" si="3">SUM(D40:G40)</f>
        <v>13</v>
      </c>
    </row>
    <row r="41">
      <c r="H41" s="162">
        <f t="shared" si="3"/>
        <v>161</v>
      </c>
    </row>
    <row r="42">
      <c r="H42" s="162">
        <f t="shared" si="3"/>
        <v>232</v>
      </c>
    </row>
    <row r="43">
      <c r="H43" s="162">
        <f t="shared" si="3"/>
        <v>145</v>
      </c>
    </row>
    <row r="44">
      <c r="H44" s="162">
        <f t="shared" si="3"/>
        <v>62</v>
      </c>
    </row>
    <row r="45" hidden="1">
      <c r="H45" s="162"/>
    </row>
    <row r="46" hidden="1">
      <c r="H46" s="162"/>
    </row>
    <row r="47">
      <c r="H47" s="162">
        <f t="shared" ref="H47:H51" si="4">SUM(D47:G47)</f>
        <v>313</v>
      </c>
    </row>
    <row r="48">
      <c r="H48" s="162">
        <f t="shared" si="4"/>
        <v>389</v>
      </c>
    </row>
    <row r="49">
      <c r="H49" s="162">
        <f t="shared" si="4"/>
        <v>126</v>
      </c>
    </row>
    <row r="50">
      <c r="H50" s="162">
        <f t="shared" si="4"/>
        <v>212</v>
      </c>
    </row>
    <row r="51">
      <c r="H51" s="162">
        <f t="shared" si="4"/>
        <v>1062</v>
      </c>
    </row>
    <row r="52" hidden="1">
      <c r="H52" s="162"/>
    </row>
    <row r="53">
      <c r="H53" s="162">
        <f t="shared" ref="H53:H61" si="5">SUM(D53:G53)</f>
        <v>45</v>
      </c>
    </row>
    <row r="54">
      <c r="H54" s="162">
        <f t="shared" si="5"/>
        <v>56</v>
      </c>
    </row>
    <row r="55">
      <c r="H55" s="162">
        <f t="shared" si="5"/>
        <v>278</v>
      </c>
    </row>
    <row r="56">
      <c r="H56" s="162">
        <f t="shared" si="5"/>
        <v>252</v>
      </c>
    </row>
    <row r="57">
      <c r="H57" s="162">
        <f t="shared" si="5"/>
        <v>94</v>
      </c>
    </row>
    <row r="58">
      <c r="H58" s="162">
        <f t="shared" si="5"/>
        <v>142</v>
      </c>
    </row>
    <row r="59">
      <c r="H59" s="162">
        <f t="shared" si="5"/>
        <v>14</v>
      </c>
    </row>
    <row r="60">
      <c r="H60" s="162">
        <f t="shared" si="5"/>
        <v>333</v>
      </c>
    </row>
    <row r="61">
      <c r="H61" s="162">
        <f t="shared" si="5"/>
        <v>1229</v>
      </c>
    </row>
    <row r="62">
      <c r="H62" s="175"/>
    </row>
    <row r="63">
      <c r="B63" s="79"/>
      <c r="D63" s="75"/>
      <c r="E63" s="75"/>
      <c r="F63" s="75"/>
      <c r="G63" s="75"/>
    </row>
    <row r="64">
      <c r="H64" s="176" t="s">
        <v>1753</v>
      </c>
      <c r="I64" s="160" t="s">
        <v>1756</v>
      </c>
      <c r="J64" s="2"/>
      <c r="K64" s="3"/>
    </row>
    <row r="65">
      <c r="H65" s="177">
        <f>SUM(D65:G65)</f>
        <v>48</v>
      </c>
      <c r="I65" s="163">
        <v>1.0</v>
      </c>
      <c r="J65" s="164" t="str">
        <f>IFERROR(__xludf.DUMMYFUNCTION("QUERY(C65:H71,""SELECT C,H ORDER BY H DESC LIMIT 5"",0)"),"Ryan shobwatur rizal")</f>
        <v>Ryan shobwatur rizal</v>
      </c>
      <c r="K65" s="165">
        <f>IFERROR(__xludf.DUMMYFUNCTION("""COMPUTED_VALUE"""),48.0)</f>
        <v>48</v>
      </c>
    </row>
    <row r="66">
      <c r="H66" s="177"/>
      <c r="I66" s="166">
        <v>2.0</v>
      </c>
      <c r="J66" s="167" t="str">
        <f>IFERROR(__xludf.DUMMYFUNCTION("""COMPUTED_VALUE"""),"Lubna intan fadhilah")</f>
        <v>Lubna intan fadhilah</v>
      </c>
      <c r="K66" s="168">
        <f>IFERROR(__xludf.DUMMYFUNCTION("""COMPUTED_VALUE"""),42.0)</f>
        <v>42</v>
      </c>
    </row>
    <row r="67">
      <c r="H67" s="177">
        <f>SUM(D67:G67)</f>
        <v>10</v>
      </c>
      <c r="I67" s="169">
        <v>3.0</v>
      </c>
      <c r="J67" s="13" t="str">
        <f>IFERROR(__xludf.DUMMYFUNCTION("""COMPUTED_VALUE"""),"Ni Kadek Novik Resya Putri")</f>
        <v>Ni Kadek Novik Resya Putri</v>
      </c>
      <c r="K67" s="170">
        <f>IFERROR(__xludf.DUMMYFUNCTION("""COMPUTED_VALUE"""),10.0)</f>
        <v>10</v>
      </c>
    </row>
    <row r="68">
      <c r="H68" s="177"/>
      <c r="I68" s="169">
        <v>4.0</v>
      </c>
      <c r="J68" s="13"/>
      <c r="K68" s="170"/>
    </row>
    <row r="69">
      <c r="H69" s="177">
        <f>SUM(D69:G69)</f>
        <v>42</v>
      </c>
      <c r="I69" s="169">
        <v>5.0</v>
      </c>
      <c r="J69" s="13"/>
      <c r="K69" s="170"/>
    </row>
    <row r="70">
      <c r="H70" s="177"/>
    </row>
    <row r="71">
      <c r="H71" s="178"/>
    </row>
    <row r="72">
      <c r="B72" s="79"/>
      <c r="D72" s="75"/>
      <c r="E72" s="75"/>
      <c r="F72" s="75"/>
      <c r="G72" s="75"/>
    </row>
    <row r="73">
      <c r="B73" s="79"/>
      <c r="D73" s="75"/>
      <c r="E73" s="75"/>
      <c r="F73" s="75"/>
      <c r="G73" s="75"/>
    </row>
    <row r="74">
      <c r="B74" s="79"/>
      <c r="D74" s="75"/>
      <c r="E74" s="75"/>
      <c r="F74" s="75"/>
      <c r="G74" s="75"/>
    </row>
    <row r="75">
      <c r="B75" s="79"/>
      <c r="D75" s="75"/>
      <c r="E75" s="75"/>
      <c r="F75" s="75"/>
      <c r="G75" s="75"/>
    </row>
    <row r="76">
      <c r="B76" s="79"/>
      <c r="D76" s="75"/>
      <c r="E76" s="75"/>
      <c r="F76" s="75"/>
      <c r="G76" s="75"/>
    </row>
    <row r="77">
      <c r="B77" s="79"/>
      <c r="D77" s="75"/>
      <c r="E77" s="75"/>
      <c r="F77" s="75"/>
      <c r="G77" s="75"/>
    </row>
    <row r="78">
      <c r="B78" s="79"/>
      <c r="D78" s="75"/>
      <c r="E78" s="75"/>
      <c r="F78" s="75"/>
      <c r="G78" s="75"/>
    </row>
    <row r="79">
      <c r="B79" s="79"/>
      <c r="D79" s="75"/>
      <c r="E79" s="75"/>
      <c r="F79" s="75"/>
      <c r="G79" s="75"/>
    </row>
    <row r="80">
      <c r="B80" s="79"/>
      <c r="D80" s="75"/>
      <c r="E80" s="75"/>
      <c r="F80" s="75"/>
      <c r="G80" s="75"/>
    </row>
    <row r="81">
      <c r="B81" s="79"/>
      <c r="D81" s="75"/>
      <c r="E81" s="75"/>
      <c r="F81" s="75"/>
      <c r="G81" s="75"/>
    </row>
    <row r="82">
      <c r="B82" s="79"/>
      <c r="D82" s="75"/>
      <c r="E82" s="75"/>
      <c r="F82" s="75"/>
      <c r="G82" s="75"/>
    </row>
    <row r="83">
      <c r="B83" s="79"/>
      <c r="D83" s="75"/>
      <c r="E83" s="75"/>
      <c r="F83" s="75"/>
      <c r="G83" s="75"/>
    </row>
    <row r="84">
      <c r="B84" s="79"/>
      <c r="D84" s="75"/>
      <c r="E84" s="75"/>
      <c r="F84" s="75"/>
      <c r="G84" s="75"/>
    </row>
    <row r="85">
      <c r="B85" s="79"/>
      <c r="D85" s="75"/>
      <c r="E85" s="75"/>
      <c r="F85" s="75"/>
      <c r="G85" s="75"/>
    </row>
    <row r="86">
      <c r="B86" s="79"/>
      <c r="D86" s="75"/>
      <c r="E86" s="75"/>
      <c r="F86" s="75"/>
      <c r="G86" s="75"/>
    </row>
    <row r="87">
      <c r="B87" s="79"/>
      <c r="D87" s="75"/>
      <c r="E87" s="75"/>
      <c r="F87" s="75"/>
      <c r="G87" s="75"/>
    </row>
    <row r="88">
      <c r="B88" s="79"/>
      <c r="D88" s="75"/>
      <c r="E88" s="75"/>
      <c r="F88" s="75"/>
      <c r="G88" s="75"/>
    </row>
    <row r="89">
      <c r="B89" s="79"/>
      <c r="D89" s="75"/>
      <c r="E89" s="75"/>
      <c r="F89" s="75"/>
      <c r="G89" s="75"/>
    </row>
    <row r="90">
      <c r="B90" s="79"/>
      <c r="D90" s="75"/>
      <c r="E90" s="75"/>
      <c r="F90" s="75"/>
      <c r="G90" s="75"/>
    </row>
    <row r="91">
      <c r="B91" s="79"/>
      <c r="D91" s="75"/>
      <c r="E91" s="75"/>
      <c r="F91" s="75"/>
      <c r="G91" s="75"/>
    </row>
    <row r="92">
      <c r="B92" s="79"/>
      <c r="D92" s="75"/>
      <c r="E92" s="75"/>
      <c r="F92" s="75"/>
      <c r="G92" s="75"/>
    </row>
    <row r="93">
      <c r="B93" s="79"/>
      <c r="D93" s="75"/>
      <c r="E93" s="75"/>
      <c r="F93" s="75"/>
      <c r="G93" s="75"/>
    </row>
    <row r="94">
      <c r="B94" s="79"/>
      <c r="D94" s="75"/>
      <c r="E94" s="75"/>
      <c r="F94" s="75"/>
      <c r="G94" s="75"/>
    </row>
    <row r="95">
      <c r="B95" s="79"/>
      <c r="D95" s="75"/>
      <c r="E95" s="75"/>
      <c r="F95" s="75"/>
      <c r="G95" s="75"/>
    </row>
    <row r="96">
      <c r="B96" s="79"/>
      <c r="D96" s="75"/>
      <c r="E96" s="75"/>
      <c r="F96" s="75"/>
      <c r="G96" s="75"/>
    </row>
    <row r="97">
      <c r="B97" s="79"/>
      <c r="D97" s="75"/>
      <c r="E97" s="75"/>
      <c r="F97" s="75"/>
      <c r="G97" s="75"/>
    </row>
    <row r="98">
      <c r="B98" s="79"/>
      <c r="D98" s="75"/>
      <c r="E98" s="75"/>
      <c r="F98" s="75"/>
      <c r="G98" s="75"/>
    </row>
    <row r="99">
      <c r="B99" s="79"/>
      <c r="D99" s="75"/>
      <c r="E99" s="75"/>
      <c r="F99" s="75"/>
      <c r="G99" s="75"/>
    </row>
    <row r="100">
      <c r="B100" s="79"/>
      <c r="D100" s="75"/>
      <c r="E100" s="75"/>
      <c r="F100" s="75"/>
      <c r="G100" s="75"/>
    </row>
    <row r="101">
      <c r="B101" s="79"/>
      <c r="D101" s="75"/>
      <c r="E101" s="75"/>
      <c r="F101" s="75"/>
      <c r="G101" s="75"/>
    </row>
    <row r="102">
      <c r="B102" s="79"/>
      <c r="D102" s="75"/>
      <c r="E102" s="75"/>
      <c r="F102" s="75"/>
      <c r="G102" s="75"/>
    </row>
    <row r="103">
      <c r="B103" s="79"/>
      <c r="D103" s="75"/>
      <c r="E103" s="75"/>
      <c r="F103" s="75"/>
      <c r="G103" s="75"/>
    </row>
    <row r="104">
      <c r="B104" s="79"/>
      <c r="D104" s="75"/>
      <c r="E104" s="75"/>
      <c r="F104" s="75"/>
      <c r="G104" s="75"/>
    </row>
    <row r="105">
      <c r="B105" s="79"/>
      <c r="D105" s="75"/>
      <c r="E105" s="75"/>
      <c r="F105" s="75"/>
      <c r="G105" s="75"/>
    </row>
    <row r="106">
      <c r="B106" s="79"/>
      <c r="D106" s="75"/>
      <c r="E106" s="75"/>
      <c r="F106" s="75"/>
      <c r="G106" s="75"/>
    </row>
    <row r="107">
      <c r="B107" s="79"/>
      <c r="D107" s="75"/>
      <c r="E107" s="75"/>
      <c r="F107" s="75"/>
      <c r="G107" s="75"/>
    </row>
    <row r="108">
      <c r="B108" s="79"/>
      <c r="D108" s="75"/>
      <c r="E108" s="75"/>
      <c r="F108" s="75"/>
      <c r="G108" s="75"/>
    </row>
    <row r="109">
      <c r="B109" s="79"/>
      <c r="D109" s="75"/>
      <c r="E109" s="75"/>
      <c r="F109" s="75"/>
      <c r="G109" s="75"/>
    </row>
    <row r="110">
      <c r="B110" s="79"/>
      <c r="D110" s="75"/>
      <c r="E110" s="75"/>
      <c r="F110" s="75"/>
      <c r="G110" s="75"/>
    </row>
    <row r="111">
      <c r="B111" s="79"/>
      <c r="D111" s="75"/>
      <c r="E111" s="75"/>
      <c r="F111" s="75"/>
      <c r="G111" s="75"/>
    </row>
    <row r="112">
      <c r="B112" s="79"/>
      <c r="D112" s="75"/>
      <c r="E112" s="75"/>
      <c r="F112" s="75"/>
      <c r="G112" s="75"/>
    </row>
    <row r="113">
      <c r="B113" s="79"/>
      <c r="D113" s="75"/>
      <c r="E113" s="75"/>
      <c r="F113" s="75"/>
      <c r="G113" s="75"/>
    </row>
    <row r="114">
      <c r="B114" s="79"/>
      <c r="D114" s="75"/>
      <c r="E114" s="75"/>
      <c r="F114" s="75"/>
      <c r="G114" s="75"/>
    </row>
    <row r="115">
      <c r="B115" s="79"/>
      <c r="D115" s="75"/>
      <c r="E115" s="75"/>
      <c r="F115" s="75"/>
      <c r="G115" s="75"/>
    </row>
    <row r="116">
      <c r="B116" s="79"/>
      <c r="D116" s="75"/>
      <c r="E116" s="75"/>
      <c r="F116" s="75"/>
      <c r="G116" s="75"/>
    </row>
    <row r="117">
      <c r="B117" s="79"/>
      <c r="D117" s="75"/>
      <c r="E117" s="75"/>
      <c r="F117" s="75"/>
      <c r="G117" s="75"/>
    </row>
    <row r="118">
      <c r="B118" s="79"/>
      <c r="D118" s="75"/>
      <c r="E118" s="75"/>
      <c r="F118" s="75"/>
      <c r="G118" s="75"/>
    </row>
    <row r="119">
      <c r="B119" s="79"/>
      <c r="D119" s="75"/>
      <c r="E119" s="75"/>
      <c r="F119" s="75"/>
      <c r="G119" s="75"/>
    </row>
    <row r="120">
      <c r="B120" s="79"/>
      <c r="D120" s="75"/>
      <c r="E120" s="75"/>
      <c r="F120" s="75"/>
      <c r="G120" s="75"/>
    </row>
    <row r="121">
      <c r="B121" s="79"/>
      <c r="D121" s="75"/>
      <c r="E121" s="75"/>
      <c r="F121" s="75"/>
      <c r="G121" s="75"/>
    </row>
    <row r="122">
      <c r="B122" s="79"/>
      <c r="D122" s="75"/>
      <c r="E122" s="75"/>
      <c r="F122" s="75"/>
      <c r="G122" s="75"/>
    </row>
    <row r="123">
      <c r="B123" s="79"/>
      <c r="D123" s="75"/>
      <c r="E123" s="75"/>
      <c r="F123" s="75"/>
      <c r="G123" s="75"/>
    </row>
    <row r="124">
      <c r="B124" s="79"/>
      <c r="D124" s="75"/>
      <c r="E124" s="75"/>
      <c r="F124" s="75"/>
      <c r="G124" s="75"/>
    </row>
    <row r="125">
      <c r="B125" s="79"/>
      <c r="D125" s="75"/>
      <c r="E125" s="75"/>
      <c r="F125" s="75"/>
      <c r="G125" s="75"/>
    </row>
    <row r="126">
      <c r="B126" s="79"/>
      <c r="D126" s="75"/>
      <c r="E126" s="75"/>
      <c r="F126" s="75"/>
      <c r="G126" s="75"/>
    </row>
    <row r="127">
      <c r="B127" s="79"/>
      <c r="D127" s="75"/>
      <c r="E127" s="75"/>
      <c r="F127" s="75"/>
      <c r="G127" s="75"/>
    </row>
    <row r="128">
      <c r="B128" s="79"/>
      <c r="D128" s="75"/>
      <c r="E128" s="75"/>
      <c r="F128" s="75"/>
      <c r="G128" s="75"/>
    </row>
    <row r="129">
      <c r="B129" s="79"/>
      <c r="D129" s="75"/>
      <c r="E129" s="75"/>
      <c r="F129" s="75"/>
      <c r="G129" s="75"/>
    </row>
    <row r="130">
      <c r="B130" s="79"/>
      <c r="D130" s="75"/>
      <c r="E130" s="75"/>
      <c r="F130" s="75"/>
      <c r="G130" s="75"/>
    </row>
    <row r="131">
      <c r="B131" s="79"/>
      <c r="D131" s="75"/>
      <c r="E131" s="75"/>
      <c r="F131" s="75"/>
      <c r="G131" s="75"/>
    </row>
    <row r="132">
      <c r="B132" s="79"/>
      <c r="D132" s="75"/>
      <c r="E132" s="75"/>
      <c r="F132" s="75"/>
      <c r="G132" s="75"/>
    </row>
    <row r="133">
      <c r="B133" s="79"/>
      <c r="D133" s="75"/>
      <c r="E133" s="75"/>
      <c r="F133" s="75"/>
      <c r="G133" s="75"/>
    </row>
    <row r="134">
      <c r="B134" s="79"/>
      <c r="D134" s="75"/>
      <c r="E134" s="75"/>
      <c r="F134" s="75"/>
      <c r="G134" s="75"/>
    </row>
    <row r="135">
      <c r="B135" s="79"/>
      <c r="D135" s="75"/>
      <c r="E135" s="75"/>
      <c r="F135" s="75"/>
      <c r="G135" s="75"/>
    </row>
    <row r="136">
      <c r="B136" s="79"/>
      <c r="D136" s="75"/>
      <c r="E136" s="75"/>
      <c r="F136" s="75"/>
      <c r="G136" s="75"/>
    </row>
    <row r="137">
      <c r="B137" s="79"/>
      <c r="D137" s="75"/>
      <c r="E137" s="75"/>
      <c r="F137" s="75"/>
      <c r="G137" s="75"/>
    </row>
    <row r="138">
      <c r="B138" s="79"/>
      <c r="D138" s="75"/>
      <c r="E138" s="75"/>
      <c r="F138" s="75"/>
      <c r="G138" s="75"/>
    </row>
    <row r="139">
      <c r="B139" s="79"/>
      <c r="D139" s="75"/>
      <c r="E139" s="75"/>
      <c r="F139" s="75"/>
      <c r="G139" s="75"/>
    </row>
    <row r="140">
      <c r="B140" s="79"/>
      <c r="D140" s="75"/>
      <c r="E140" s="75"/>
      <c r="F140" s="75"/>
      <c r="G140" s="75"/>
    </row>
    <row r="141">
      <c r="B141" s="79"/>
      <c r="D141" s="75"/>
      <c r="E141" s="75"/>
      <c r="F141" s="75"/>
      <c r="G141" s="75"/>
    </row>
    <row r="142">
      <c r="B142" s="79"/>
      <c r="D142" s="75"/>
      <c r="E142" s="75"/>
      <c r="F142" s="75"/>
      <c r="G142" s="75"/>
    </row>
    <row r="143">
      <c r="B143" s="79"/>
      <c r="D143" s="75"/>
      <c r="E143" s="75"/>
      <c r="F143" s="75"/>
      <c r="G143" s="75"/>
    </row>
    <row r="144">
      <c r="B144" s="79"/>
      <c r="D144" s="75"/>
      <c r="E144" s="75"/>
      <c r="F144" s="75"/>
      <c r="G144" s="75"/>
    </row>
    <row r="145">
      <c r="B145" s="79"/>
      <c r="D145" s="75"/>
      <c r="E145" s="75"/>
      <c r="F145" s="75"/>
      <c r="G145" s="75"/>
    </row>
    <row r="146">
      <c r="B146" s="79"/>
      <c r="D146" s="75"/>
      <c r="E146" s="75"/>
      <c r="F146" s="75"/>
      <c r="G146" s="75"/>
    </row>
    <row r="147">
      <c r="B147" s="79"/>
      <c r="D147" s="75"/>
      <c r="E147" s="75"/>
      <c r="F147" s="75"/>
      <c r="G147" s="75"/>
    </row>
    <row r="148">
      <c r="B148" s="79"/>
      <c r="D148" s="75"/>
      <c r="E148" s="75"/>
      <c r="F148" s="75"/>
      <c r="G148" s="75"/>
    </row>
    <row r="149">
      <c r="B149" s="79"/>
      <c r="D149" s="75"/>
      <c r="E149" s="75"/>
      <c r="F149" s="75"/>
      <c r="G149" s="75"/>
    </row>
    <row r="150">
      <c r="B150" s="79"/>
      <c r="D150" s="75"/>
      <c r="E150" s="75"/>
      <c r="F150" s="75"/>
      <c r="G150" s="75"/>
    </row>
    <row r="151">
      <c r="B151" s="79"/>
      <c r="D151" s="75"/>
      <c r="E151" s="75"/>
      <c r="F151" s="75"/>
      <c r="G151" s="75"/>
    </row>
    <row r="152">
      <c r="B152" s="79"/>
      <c r="D152" s="75"/>
      <c r="E152" s="75"/>
      <c r="F152" s="75"/>
      <c r="G152" s="75"/>
    </row>
    <row r="153">
      <c r="B153" s="79"/>
      <c r="D153" s="75"/>
      <c r="E153" s="75"/>
      <c r="F153" s="75"/>
      <c r="G153" s="75"/>
    </row>
    <row r="154">
      <c r="B154" s="79"/>
      <c r="D154" s="75"/>
      <c r="E154" s="75"/>
      <c r="F154" s="75"/>
      <c r="G154" s="75"/>
    </row>
    <row r="155">
      <c r="B155" s="79"/>
      <c r="D155" s="75"/>
      <c r="E155" s="75"/>
      <c r="F155" s="75"/>
      <c r="G155" s="75"/>
    </row>
    <row r="156">
      <c r="B156" s="79"/>
      <c r="D156" s="75"/>
      <c r="E156" s="75"/>
      <c r="F156" s="75"/>
      <c r="G156" s="75"/>
    </row>
    <row r="157">
      <c r="B157" s="79"/>
      <c r="D157" s="75"/>
      <c r="E157" s="75"/>
      <c r="F157" s="75"/>
      <c r="G157" s="75"/>
    </row>
    <row r="158">
      <c r="B158" s="79"/>
      <c r="D158" s="75"/>
      <c r="E158" s="75"/>
      <c r="F158" s="75"/>
      <c r="G158" s="75"/>
    </row>
    <row r="159">
      <c r="B159" s="79"/>
      <c r="D159" s="75"/>
      <c r="E159" s="75"/>
      <c r="F159" s="75"/>
      <c r="G159" s="75"/>
    </row>
    <row r="160">
      <c r="B160" s="79"/>
      <c r="D160" s="75"/>
      <c r="E160" s="75"/>
      <c r="F160" s="75"/>
      <c r="G160" s="75"/>
    </row>
    <row r="161">
      <c r="B161" s="79"/>
      <c r="D161" s="75"/>
      <c r="E161" s="75"/>
      <c r="F161" s="75"/>
      <c r="G161" s="75"/>
    </row>
    <row r="162">
      <c r="B162" s="79"/>
      <c r="D162" s="75"/>
      <c r="E162" s="75"/>
      <c r="F162" s="75"/>
      <c r="G162" s="75"/>
    </row>
    <row r="163">
      <c r="B163" s="79"/>
      <c r="D163" s="75"/>
      <c r="E163" s="75"/>
      <c r="F163" s="75"/>
      <c r="G163" s="75"/>
    </row>
    <row r="164">
      <c r="B164" s="79"/>
      <c r="D164" s="75"/>
      <c r="E164" s="75"/>
      <c r="F164" s="75"/>
      <c r="G164" s="75"/>
    </row>
    <row r="165">
      <c r="B165" s="79"/>
      <c r="D165" s="75"/>
      <c r="E165" s="75"/>
      <c r="F165" s="75"/>
      <c r="G165" s="75"/>
    </row>
    <row r="166">
      <c r="B166" s="79"/>
      <c r="D166" s="75"/>
      <c r="E166" s="75"/>
      <c r="F166" s="75"/>
      <c r="G166" s="75"/>
    </row>
    <row r="167">
      <c r="B167" s="79"/>
      <c r="D167" s="75"/>
      <c r="E167" s="75"/>
      <c r="F167" s="75"/>
      <c r="G167" s="75"/>
    </row>
    <row r="168">
      <c r="B168" s="79"/>
      <c r="D168" s="75"/>
      <c r="E168" s="75"/>
      <c r="F168" s="75"/>
      <c r="G168" s="75"/>
    </row>
    <row r="169">
      <c r="B169" s="79"/>
      <c r="D169" s="75"/>
      <c r="E169" s="75"/>
      <c r="F169" s="75"/>
      <c r="G169" s="75"/>
    </row>
    <row r="170">
      <c r="B170" s="79"/>
      <c r="D170" s="75"/>
      <c r="E170" s="75"/>
      <c r="F170" s="75"/>
      <c r="G170" s="75"/>
    </row>
    <row r="171">
      <c r="B171" s="79"/>
      <c r="D171" s="75"/>
      <c r="E171" s="75"/>
      <c r="F171" s="75"/>
      <c r="G171" s="75"/>
    </row>
    <row r="172">
      <c r="B172" s="79"/>
      <c r="D172" s="75"/>
      <c r="E172" s="75"/>
      <c r="F172" s="75"/>
      <c r="G172" s="75"/>
    </row>
    <row r="173">
      <c r="B173" s="79"/>
      <c r="D173" s="75"/>
      <c r="E173" s="75"/>
      <c r="F173" s="75"/>
      <c r="G173" s="75"/>
    </row>
    <row r="174">
      <c r="B174" s="79"/>
      <c r="D174" s="75"/>
      <c r="E174" s="75"/>
      <c r="F174" s="75"/>
      <c r="G174" s="75"/>
    </row>
    <row r="175">
      <c r="B175" s="79"/>
      <c r="D175" s="75"/>
      <c r="E175" s="75"/>
      <c r="F175" s="75"/>
      <c r="G175" s="75"/>
    </row>
    <row r="176">
      <c r="B176" s="79"/>
      <c r="D176" s="75"/>
      <c r="E176" s="75"/>
      <c r="F176" s="75"/>
      <c r="G176" s="75"/>
    </row>
    <row r="177">
      <c r="B177" s="79"/>
      <c r="D177" s="75"/>
      <c r="E177" s="75"/>
      <c r="F177" s="75"/>
      <c r="G177" s="75"/>
    </row>
    <row r="178">
      <c r="B178" s="79"/>
      <c r="D178" s="75"/>
      <c r="E178" s="75"/>
      <c r="F178" s="75"/>
      <c r="G178" s="75"/>
    </row>
    <row r="179">
      <c r="B179" s="79"/>
      <c r="D179" s="75"/>
      <c r="E179" s="75"/>
      <c r="F179" s="75"/>
      <c r="G179" s="75"/>
    </row>
    <row r="180">
      <c r="B180" s="79"/>
      <c r="D180" s="75"/>
      <c r="E180" s="75"/>
      <c r="F180" s="75"/>
      <c r="G180" s="75"/>
    </row>
    <row r="181">
      <c r="B181" s="79"/>
      <c r="D181" s="75"/>
      <c r="E181" s="75"/>
      <c r="F181" s="75"/>
      <c r="G181" s="75"/>
    </row>
    <row r="182">
      <c r="B182" s="79"/>
      <c r="D182" s="75"/>
      <c r="E182" s="75"/>
      <c r="F182" s="75"/>
      <c r="G182" s="75"/>
    </row>
    <row r="183">
      <c r="B183" s="79"/>
      <c r="D183" s="75"/>
      <c r="E183" s="75"/>
      <c r="F183" s="75"/>
      <c r="G183" s="75"/>
    </row>
    <row r="184">
      <c r="B184" s="79"/>
      <c r="D184" s="75"/>
      <c r="E184" s="75"/>
      <c r="F184" s="75"/>
      <c r="G184" s="75"/>
    </row>
    <row r="185">
      <c r="B185" s="79"/>
      <c r="D185" s="75"/>
      <c r="E185" s="75"/>
      <c r="F185" s="75"/>
      <c r="G185" s="75"/>
    </row>
    <row r="186">
      <c r="B186" s="79"/>
      <c r="D186" s="75"/>
      <c r="E186" s="75"/>
      <c r="F186" s="75"/>
      <c r="G186" s="75"/>
    </row>
    <row r="187">
      <c r="B187" s="79"/>
      <c r="D187" s="75"/>
      <c r="E187" s="75"/>
      <c r="F187" s="75"/>
      <c r="G187" s="75"/>
    </row>
    <row r="188">
      <c r="B188" s="79"/>
      <c r="D188" s="75"/>
      <c r="E188" s="75"/>
      <c r="F188" s="75"/>
      <c r="G188" s="75"/>
    </row>
    <row r="189">
      <c r="B189" s="79"/>
      <c r="D189" s="75"/>
      <c r="E189" s="75"/>
      <c r="F189" s="75"/>
      <c r="G189" s="75"/>
    </row>
    <row r="190">
      <c r="B190" s="79"/>
      <c r="D190" s="75"/>
      <c r="E190" s="75"/>
      <c r="F190" s="75"/>
      <c r="G190" s="75"/>
    </row>
    <row r="191">
      <c r="B191" s="79"/>
      <c r="D191" s="75"/>
      <c r="E191" s="75"/>
      <c r="F191" s="75"/>
      <c r="G191" s="75"/>
    </row>
    <row r="192">
      <c r="B192" s="79"/>
      <c r="D192" s="75"/>
      <c r="E192" s="75"/>
      <c r="F192" s="75"/>
      <c r="G192" s="75"/>
    </row>
    <row r="193">
      <c r="B193" s="79"/>
      <c r="D193" s="75"/>
      <c r="E193" s="75"/>
      <c r="F193" s="75"/>
      <c r="G193" s="75"/>
    </row>
    <row r="194">
      <c r="B194" s="79"/>
      <c r="D194" s="75"/>
      <c r="E194" s="75"/>
      <c r="F194" s="75"/>
      <c r="G194" s="75"/>
    </row>
    <row r="195">
      <c r="B195" s="79"/>
      <c r="D195" s="75"/>
      <c r="E195" s="75"/>
      <c r="F195" s="75"/>
      <c r="G195" s="75"/>
    </row>
    <row r="196">
      <c r="B196" s="79"/>
      <c r="D196" s="75"/>
      <c r="E196" s="75"/>
      <c r="F196" s="75"/>
      <c r="G196" s="75"/>
    </row>
    <row r="197">
      <c r="B197" s="79"/>
      <c r="D197" s="75"/>
      <c r="E197" s="75"/>
      <c r="F197" s="75"/>
      <c r="G197" s="75"/>
    </row>
    <row r="198">
      <c r="B198" s="79"/>
      <c r="D198" s="75"/>
      <c r="E198" s="75"/>
      <c r="F198" s="75"/>
      <c r="G198" s="75"/>
    </row>
    <row r="199">
      <c r="B199" s="79"/>
      <c r="D199" s="75"/>
      <c r="E199" s="75"/>
      <c r="F199" s="75"/>
      <c r="G199" s="75"/>
    </row>
    <row r="200">
      <c r="B200" s="79"/>
      <c r="D200" s="75"/>
      <c r="E200" s="75"/>
      <c r="F200" s="75"/>
      <c r="G200" s="75"/>
    </row>
    <row r="201">
      <c r="B201" s="79"/>
      <c r="D201" s="75"/>
      <c r="E201" s="75"/>
      <c r="F201" s="75"/>
      <c r="G201" s="75"/>
    </row>
    <row r="202">
      <c r="B202" s="79"/>
      <c r="D202" s="75"/>
      <c r="E202" s="75"/>
      <c r="F202" s="75"/>
      <c r="G202" s="75"/>
    </row>
    <row r="203">
      <c r="B203" s="79"/>
      <c r="D203" s="75"/>
      <c r="E203" s="75"/>
      <c r="F203" s="75"/>
      <c r="G203" s="75"/>
    </row>
    <row r="204">
      <c r="B204" s="79"/>
      <c r="D204" s="75"/>
      <c r="E204" s="75"/>
      <c r="F204" s="75"/>
      <c r="G204" s="75"/>
    </row>
    <row r="205">
      <c r="B205" s="79"/>
      <c r="D205" s="75"/>
      <c r="E205" s="75"/>
      <c r="F205" s="75"/>
      <c r="G205" s="75"/>
    </row>
    <row r="206">
      <c r="B206" s="79"/>
      <c r="D206" s="75"/>
      <c r="E206" s="75"/>
      <c r="F206" s="75"/>
      <c r="G206" s="75"/>
    </row>
    <row r="207">
      <c r="B207" s="79"/>
      <c r="D207" s="75"/>
      <c r="E207" s="75"/>
      <c r="F207" s="75"/>
      <c r="G207" s="75"/>
    </row>
    <row r="208">
      <c r="B208" s="79"/>
      <c r="D208" s="75"/>
      <c r="E208" s="75"/>
      <c r="F208" s="75"/>
      <c r="G208" s="75"/>
    </row>
    <row r="209">
      <c r="B209" s="79"/>
      <c r="D209" s="75"/>
      <c r="E209" s="75"/>
      <c r="F209" s="75"/>
      <c r="G209" s="75"/>
    </row>
    <row r="210">
      <c r="B210" s="79"/>
      <c r="D210" s="75"/>
      <c r="E210" s="75"/>
      <c r="F210" s="75"/>
      <c r="G210" s="75"/>
    </row>
    <row r="211">
      <c r="B211" s="79"/>
      <c r="D211" s="75"/>
      <c r="E211" s="75"/>
      <c r="F211" s="75"/>
      <c r="G211" s="75"/>
    </row>
    <row r="212">
      <c r="B212" s="79"/>
      <c r="D212" s="75"/>
      <c r="E212" s="75"/>
      <c r="F212" s="75"/>
      <c r="G212" s="75"/>
    </row>
    <row r="213">
      <c r="B213" s="79"/>
      <c r="D213" s="75"/>
      <c r="E213" s="75"/>
      <c r="F213" s="75"/>
      <c r="G213" s="75"/>
    </row>
    <row r="214">
      <c r="B214" s="79"/>
      <c r="D214" s="75"/>
      <c r="E214" s="75"/>
      <c r="F214" s="75"/>
      <c r="G214" s="75"/>
    </row>
    <row r="215">
      <c r="B215" s="79"/>
      <c r="D215" s="75"/>
      <c r="E215" s="75"/>
      <c r="F215" s="75"/>
      <c r="G215" s="75"/>
    </row>
    <row r="216">
      <c r="B216" s="79"/>
      <c r="D216" s="75"/>
      <c r="E216" s="75"/>
      <c r="F216" s="75"/>
      <c r="G216" s="75"/>
    </row>
    <row r="217">
      <c r="B217" s="79"/>
      <c r="D217" s="75"/>
      <c r="E217" s="75"/>
      <c r="F217" s="75"/>
      <c r="G217" s="75"/>
    </row>
    <row r="218">
      <c r="B218" s="79"/>
      <c r="D218" s="75"/>
      <c r="E218" s="75"/>
      <c r="F218" s="75"/>
      <c r="G218" s="75"/>
    </row>
    <row r="219">
      <c r="B219" s="79"/>
      <c r="D219" s="75"/>
      <c r="E219" s="75"/>
      <c r="F219" s="75"/>
      <c r="G219" s="75"/>
    </row>
    <row r="220">
      <c r="B220" s="79"/>
      <c r="D220" s="75"/>
      <c r="E220" s="75"/>
      <c r="F220" s="75"/>
      <c r="G220" s="75"/>
    </row>
    <row r="221">
      <c r="B221" s="79"/>
      <c r="D221" s="75"/>
      <c r="E221" s="75"/>
      <c r="F221" s="75"/>
      <c r="G221" s="75"/>
    </row>
    <row r="222">
      <c r="B222" s="79"/>
      <c r="D222" s="75"/>
      <c r="E222" s="75"/>
      <c r="F222" s="75"/>
      <c r="G222" s="75"/>
    </row>
    <row r="223">
      <c r="B223" s="79"/>
      <c r="D223" s="75"/>
      <c r="E223" s="75"/>
      <c r="F223" s="75"/>
      <c r="G223" s="75"/>
    </row>
    <row r="224">
      <c r="B224" s="79"/>
      <c r="D224" s="75"/>
      <c r="E224" s="75"/>
      <c r="F224" s="75"/>
      <c r="G224" s="75"/>
    </row>
    <row r="225">
      <c r="B225" s="79"/>
      <c r="D225" s="75"/>
      <c r="E225" s="75"/>
      <c r="F225" s="75"/>
      <c r="G225" s="75"/>
    </row>
    <row r="226">
      <c r="B226" s="79"/>
      <c r="D226" s="75"/>
      <c r="E226" s="75"/>
      <c r="F226" s="75"/>
      <c r="G226" s="75"/>
    </row>
    <row r="227">
      <c r="B227" s="79"/>
      <c r="D227" s="75"/>
      <c r="E227" s="75"/>
      <c r="F227" s="75"/>
      <c r="G227" s="75"/>
    </row>
    <row r="228">
      <c r="B228" s="79"/>
      <c r="D228" s="75"/>
      <c r="E228" s="75"/>
      <c r="F228" s="75"/>
      <c r="G228" s="75"/>
    </row>
    <row r="229">
      <c r="B229" s="79"/>
      <c r="D229" s="75"/>
      <c r="E229" s="75"/>
      <c r="F229" s="75"/>
      <c r="G229" s="75"/>
    </row>
    <row r="230">
      <c r="B230" s="79"/>
      <c r="D230" s="75"/>
      <c r="E230" s="75"/>
      <c r="F230" s="75"/>
      <c r="G230" s="75"/>
    </row>
    <row r="231">
      <c r="B231" s="79"/>
      <c r="D231" s="75"/>
      <c r="E231" s="75"/>
      <c r="F231" s="75"/>
      <c r="G231" s="75"/>
    </row>
    <row r="232">
      <c r="B232" s="79"/>
      <c r="D232" s="75"/>
      <c r="E232" s="75"/>
      <c r="F232" s="75"/>
      <c r="G232" s="75"/>
    </row>
    <row r="233">
      <c r="B233" s="79"/>
      <c r="D233" s="75"/>
      <c r="E233" s="75"/>
      <c r="F233" s="75"/>
      <c r="G233" s="75"/>
    </row>
    <row r="234">
      <c r="B234" s="79"/>
      <c r="D234" s="75"/>
      <c r="E234" s="75"/>
      <c r="F234" s="75"/>
      <c r="G234" s="75"/>
    </row>
    <row r="235">
      <c r="B235" s="79"/>
      <c r="D235" s="75"/>
      <c r="E235" s="75"/>
      <c r="F235" s="75"/>
      <c r="G235" s="75"/>
    </row>
    <row r="236">
      <c r="B236" s="79"/>
      <c r="D236" s="75"/>
      <c r="E236" s="75"/>
      <c r="F236" s="75"/>
      <c r="G236" s="75"/>
    </row>
    <row r="237">
      <c r="B237" s="79"/>
      <c r="D237" s="75"/>
      <c r="E237" s="75"/>
      <c r="F237" s="75"/>
      <c r="G237" s="75"/>
    </row>
    <row r="238">
      <c r="B238" s="79"/>
      <c r="D238" s="75"/>
      <c r="E238" s="75"/>
      <c r="F238" s="75"/>
      <c r="G238" s="75"/>
    </row>
    <row r="239">
      <c r="B239" s="79"/>
      <c r="D239" s="75"/>
      <c r="E239" s="75"/>
      <c r="F239" s="75"/>
      <c r="G239" s="75"/>
    </row>
    <row r="240">
      <c r="B240" s="79"/>
      <c r="D240" s="75"/>
      <c r="E240" s="75"/>
      <c r="F240" s="75"/>
      <c r="G240" s="75"/>
    </row>
    <row r="241">
      <c r="B241" s="79"/>
      <c r="D241" s="75"/>
      <c r="E241" s="75"/>
      <c r="F241" s="75"/>
      <c r="G241" s="75"/>
    </row>
    <row r="242">
      <c r="B242" s="79"/>
      <c r="D242" s="75"/>
      <c r="E242" s="75"/>
      <c r="F242" s="75"/>
      <c r="G242" s="75"/>
    </row>
    <row r="243">
      <c r="B243" s="79"/>
      <c r="D243" s="75"/>
      <c r="E243" s="75"/>
      <c r="F243" s="75"/>
      <c r="G243" s="75"/>
    </row>
    <row r="244">
      <c r="B244" s="79"/>
      <c r="D244" s="75"/>
      <c r="E244" s="75"/>
      <c r="F244" s="75"/>
      <c r="G244" s="75"/>
    </row>
    <row r="245">
      <c r="B245" s="79"/>
      <c r="D245" s="75"/>
      <c r="E245" s="75"/>
      <c r="F245" s="75"/>
      <c r="G245" s="75"/>
    </row>
    <row r="246">
      <c r="B246" s="79"/>
      <c r="D246" s="75"/>
      <c r="E246" s="75"/>
      <c r="F246" s="75"/>
      <c r="G246" s="75"/>
    </row>
    <row r="247">
      <c r="B247" s="79"/>
      <c r="D247" s="75"/>
      <c r="E247" s="75"/>
      <c r="F247" s="75"/>
      <c r="G247" s="75"/>
    </row>
    <row r="248">
      <c r="B248" s="79"/>
      <c r="D248" s="75"/>
      <c r="E248" s="75"/>
      <c r="F248" s="75"/>
      <c r="G248" s="75"/>
    </row>
    <row r="249">
      <c r="B249" s="79"/>
      <c r="D249" s="75"/>
      <c r="E249" s="75"/>
      <c r="F249" s="75"/>
      <c r="G249" s="75"/>
    </row>
    <row r="250">
      <c r="B250" s="79"/>
      <c r="D250" s="75"/>
      <c r="E250" s="75"/>
      <c r="F250" s="75"/>
      <c r="G250" s="75"/>
    </row>
    <row r="251">
      <c r="B251" s="79"/>
      <c r="D251" s="75"/>
      <c r="E251" s="75"/>
      <c r="F251" s="75"/>
      <c r="G251" s="75"/>
    </row>
    <row r="252">
      <c r="B252" s="79"/>
      <c r="D252" s="75"/>
      <c r="E252" s="75"/>
      <c r="F252" s="75"/>
      <c r="G252" s="75"/>
    </row>
    <row r="253">
      <c r="B253" s="79"/>
      <c r="D253" s="75"/>
      <c r="E253" s="75"/>
      <c r="F253" s="75"/>
      <c r="G253" s="75"/>
    </row>
    <row r="254">
      <c r="B254" s="79"/>
      <c r="D254" s="75"/>
      <c r="E254" s="75"/>
      <c r="F254" s="75"/>
      <c r="G254" s="75"/>
    </row>
    <row r="255">
      <c r="B255" s="79"/>
      <c r="D255" s="75"/>
      <c r="E255" s="75"/>
      <c r="F255" s="75"/>
      <c r="G255" s="75"/>
    </row>
    <row r="256">
      <c r="B256" s="79"/>
      <c r="D256" s="75"/>
      <c r="E256" s="75"/>
      <c r="F256" s="75"/>
      <c r="G256" s="75"/>
    </row>
    <row r="257">
      <c r="B257" s="79"/>
      <c r="D257" s="75"/>
      <c r="E257" s="75"/>
      <c r="F257" s="75"/>
      <c r="G257" s="75"/>
    </row>
    <row r="258">
      <c r="B258" s="79"/>
      <c r="D258" s="75"/>
      <c r="E258" s="75"/>
      <c r="F258" s="75"/>
      <c r="G258" s="75"/>
    </row>
    <row r="259">
      <c r="B259" s="79"/>
      <c r="D259" s="75"/>
      <c r="E259" s="75"/>
      <c r="F259" s="75"/>
      <c r="G259" s="75"/>
    </row>
    <row r="260">
      <c r="B260" s="79"/>
      <c r="D260" s="75"/>
      <c r="E260" s="75"/>
      <c r="F260" s="75"/>
      <c r="G260" s="75"/>
    </row>
    <row r="261">
      <c r="B261" s="79"/>
      <c r="D261" s="75"/>
      <c r="E261" s="75"/>
      <c r="F261" s="75"/>
      <c r="G261" s="75"/>
    </row>
    <row r="262">
      <c r="B262" s="79"/>
      <c r="D262" s="75"/>
      <c r="E262" s="75"/>
      <c r="F262" s="75"/>
      <c r="G262" s="75"/>
    </row>
    <row r="263">
      <c r="B263" s="79"/>
      <c r="D263" s="75"/>
      <c r="E263" s="75"/>
      <c r="F263" s="75"/>
      <c r="G263" s="75"/>
    </row>
    <row r="264">
      <c r="B264" s="79"/>
      <c r="D264" s="75"/>
      <c r="E264" s="75"/>
      <c r="F264" s="75"/>
      <c r="G264" s="75"/>
    </row>
    <row r="265">
      <c r="B265" s="79"/>
      <c r="D265" s="75"/>
      <c r="E265" s="75"/>
      <c r="F265" s="75"/>
      <c r="G265" s="75"/>
    </row>
    <row r="266">
      <c r="B266" s="79"/>
      <c r="D266" s="75"/>
      <c r="E266" s="75"/>
      <c r="F266" s="75"/>
      <c r="G266" s="75"/>
    </row>
    <row r="267">
      <c r="B267" s="79"/>
      <c r="D267" s="75"/>
      <c r="E267" s="75"/>
      <c r="F267" s="75"/>
      <c r="G267" s="75"/>
    </row>
    <row r="268">
      <c r="B268" s="79"/>
      <c r="D268" s="75"/>
      <c r="E268" s="75"/>
      <c r="F268" s="75"/>
      <c r="G268" s="75"/>
    </row>
    <row r="269">
      <c r="B269" s="79"/>
      <c r="D269" s="75"/>
      <c r="E269" s="75"/>
      <c r="F269" s="75"/>
      <c r="G269" s="75"/>
    </row>
    <row r="270">
      <c r="B270" s="79"/>
      <c r="D270" s="75"/>
      <c r="E270" s="75"/>
      <c r="F270" s="75"/>
      <c r="G270" s="75"/>
    </row>
    <row r="271">
      <c r="B271" s="79"/>
      <c r="D271" s="75"/>
      <c r="E271" s="75"/>
      <c r="F271" s="75"/>
      <c r="G271" s="75"/>
    </row>
    <row r="272">
      <c r="B272" s="79"/>
      <c r="D272" s="75"/>
      <c r="E272" s="75"/>
      <c r="F272" s="75"/>
      <c r="G272" s="75"/>
    </row>
    <row r="273">
      <c r="B273" s="79"/>
      <c r="D273" s="75"/>
      <c r="E273" s="75"/>
      <c r="F273" s="75"/>
      <c r="G273" s="75"/>
    </row>
    <row r="274">
      <c r="B274" s="79"/>
      <c r="D274" s="75"/>
      <c r="E274" s="75"/>
      <c r="F274" s="75"/>
      <c r="G274" s="75"/>
    </row>
    <row r="275">
      <c r="B275" s="79"/>
      <c r="D275" s="75"/>
      <c r="E275" s="75"/>
      <c r="F275" s="75"/>
      <c r="G275" s="75"/>
    </row>
    <row r="276">
      <c r="B276" s="79"/>
      <c r="D276" s="75"/>
      <c r="E276" s="75"/>
      <c r="F276" s="75"/>
      <c r="G276" s="75"/>
    </row>
    <row r="277">
      <c r="B277" s="79"/>
      <c r="D277" s="75"/>
      <c r="E277" s="75"/>
      <c r="F277" s="75"/>
      <c r="G277" s="75"/>
    </row>
    <row r="278">
      <c r="B278" s="79"/>
      <c r="D278" s="75"/>
      <c r="E278" s="75"/>
      <c r="F278" s="75"/>
      <c r="G278" s="75"/>
    </row>
    <row r="279">
      <c r="B279" s="79"/>
      <c r="D279" s="75"/>
      <c r="E279" s="75"/>
      <c r="F279" s="75"/>
      <c r="G279" s="75"/>
    </row>
    <row r="280">
      <c r="B280" s="79"/>
      <c r="D280" s="75"/>
      <c r="E280" s="75"/>
      <c r="F280" s="75"/>
      <c r="G280" s="75"/>
    </row>
    <row r="281">
      <c r="B281" s="79"/>
      <c r="D281" s="75"/>
      <c r="E281" s="75"/>
      <c r="F281" s="75"/>
      <c r="G281" s="75"/>
    </row>
    <row r="282">
      <c r="B282" s="79"/>
      <c r="D282" s="75"/>
      <c r="E282" s="75"/>
      <c r="F282" s="75"/>
      <c r="G282" s="75"/>
    </row>
    <row r="283">
      <c r="B283" s="79"/>
      <c r="D283" s="75"/>
      <c r="E283" s="75"/>
      <c r="F283" s="75"/>
      <c r="G283" s="75"/>
    </row>
    <row r="284">
      <c r="B284" s="79"/>
      <c r="D284" s="75"/>
      <c r="E284" s="75"/>
      <c r="F284" s="75"/>
      <c r="G284" s="75"/>
    </row>
    <row r="285">
      <c r="B285" s="79"/>
      <c r="D285" s="75"/>
      <c r="E285" s="75"/>
      <c r="F285" s="75"/>
      <c r="G285" s="75"/>
    </row>
    <row r="286">
      <c r="B286" s="79"/>
      <c r="D286" s="75"/>
      <c r="E286" s="75"/>
      <c r="F286" s="75"/>
      <c r="G286" s="75"/>
    </row>
    <row r="287">
      <c r="B287" s="79"/>
      <c r="D287" s="75"/>
      <c r="E287" s="75"/>
      <c r="F287" s="75"/>
      <c r="G287" s="75"/>
    </row>
    <row r="288">
      <c r="B288" s="79"/>
      <c r="D288" s="75"/>
      <c r="E288" s="75"/>
      <c r="F288" s="75"/>
      <c r="G288" s="75"/>
    </row>
    <row r="289">
      <c r="B289" s="79"/>
      <c r="D289" s="75"/>
      <c r="E289" s="75"/>
      <c r="F289" s="75"/>
      <c r="G289" s="75"/>
    </row>
    <row r="290">
      <c r="B290" s="79"/>
      <c r="D290" s="75"/>
      <c r="E290" s="75"/>
      <c r="F290" s="75"/>
      <c r="G290" s="75"/>
    </row>
    <row r="291">
      <c r="B291" s="79"/>
      <c r="D291" s="75"/>
      <c r="E291" s="75"/>
      <c r="F291" s="75"/>
      <c r="G291" s="75"/>
    </row>
    <row r="292">
      <c r="B292" s="79"/>
      <c r="D292" s="75"/>
      <c r="E292" s="75"/>
      <c r="F292" s="75"/>
      <c r="G292" s="75"/>
    </row>
    <row r="293">
      <c r="B293" s="79"/>
      <c r="D293" s="75"/>
      <c r="E293" s="75"/>
      <c r="F293" s="75"/>
      <c r="G293" s="75"/>
    </row>
    <row r="294">
      <c r="B294" s="79"/>
      <c r="D294" s="75"/>
      <c r="E294" s="75"/>
      <c r="F294" s="75"/>
      <c r="G294" s="75"/>
    </row>
    <row r="295">
      <c r="B295" s="79"/>
      <c r="D295" s="75"/>
      <c r="E295" s="75"/>
      <c r="F295" s="75"/>
      <c r="G295" s="75"/>
    </row>
    <row r="296">
      <c r="B296" s="79"/>
      <c r="D296" s="75"/>
      <c r="E296" s="75"/>
      <c r="F296" s="75"/>
      <c r="G296" s="75"/>
    </row>
    <row r="297">
      <c r="B297" s="79"/>
      <c r="D297" s="75"/>
      <c r="E297" s="75"/>
      <c r="F297" s="75"/>
      <c r="G297" s="75"/>
    </row>
    <row r="298">
      <c r="B298" s="79"/>
      <c r="D298" s="75"/>
      <c r="E298" s="75"/>
      <c r="F298" s="75"/>
      <c r="G298" s="75"/>
    </row>
    <row r="299">
      <c r="B299" s="79"/>
      <c r="D299" s="75"/>
      <c r="E299" s="75"/>
      <c r="F299" s="75"/>
      <c r="G299" s="75"/>
    </row>
    <row r="300">
      <c r="B300" s="79"/>
      <c r="D300" s="75"/>
      <c r="E300" s="75"/>
      <c r="F300" s="75"/>
      <c r="G300" s="75"/>
    </row>
    <row r="301">
      <c r="B301" s="79"/>
      <c r="D301" s="75"/>
      <c r="E301" s="75"/>
      <c r="F301" s="75"/>
      <c r="G301" s="75"/>
    </row>
    <row r="302">
      <c r="B302" s="79"/>
      <c r="D302" s="75"/>
      <c r="E302" s="75"/>
      <c r="F302" s="75"/>
      <c r="G302" s="75"/>
    </row>
    <row r="303">
      <c r="B303" s="79"/>
      <c r="D303" s="75"/>
      <c r="E303" s="75"/>
      <c r="F303" s="75"/>
      <c r="G303" s="75"/>
    </row>
    <row r="304">
      <c r="B304" s="79"/>
      <c r="D304" s="75"/>
      <c r="E304" s="75"/>
      <c r="F304" s="75"/>
      <c r="G304" s="75"/>
    </row>
    <row r="305">
      <c r="B305" s="79"/>
      <c r="D305" s="75"/>
      <c r="E305" s="75"/>
      <c r="F305" s="75"/>
      <c r="G305" s="75"/>
    </row>
    <row r="306">
      <c r="B306" s="79"/>
      <c r="D306" s="75"/>
      <c r="E306" s="75"/>
      <c r="F306" s="75"/>
      <c r="G306" s="75"/>
    </row>
    <row r="307">
      <c r="B307" s="79"/>
      <c r="D307" s="75"/>
      <c r="E307" s="75"/>
      <c r="F307" s="75"/>
      <c r="G307" s="75"/>
    </row>
    <row r="308">
      <c r="B308" s="79"/>
      <c r="D308" s="75"/>
      <c r="E308" s="75"/>
      <c r="F308" s="75"/>
      <c r="G308" s="75"/>
    </row>
    <row r="309">
      <c r="B309" s="79"/>
      <c r="D309" s="75"/>
      <c r="E309" s="75"/>
      <c r="F309" s="75"/>
      <c r="G309" s="75"/>
    </row>
    <row r="310">
      <c r="B310" s="79"/>
      <c r="D310" s="75"/>
      <c r="E310" s="75"/>
      <c r="F310" s="75"/>
      <c r="G310" s="75"/>
    </row>
    <row r="311">
      <c r="B311" s="79"/>
      <c r="D311" s="75"/>
      <c r="E311" s="75"/>
      <c r="F311" s="75"/>
      <c r="G311" s="75"/>
    </row>
    <row r="312">
      <c r="B312" s="79"/>
      <c r="D312" s="75"/>
      <c r="E312" s="75"/>
      <c r="F312" s="75"/>
      <c r="G312" s="75"/>
    </row>
    <row r="313">
      <c r="B313" s="79"/>
      <c r="D313" s="75"/>
      <c r="E313" s="75"/>
      <c r="F313" s="75"/>
      <c r="G313" s="75"/>
    </row>
    <row r="314">
      <c r="B314" s="79"/>
      <c r="D314" s="75"/>
      <c r="E314" s="75"/>
      <c r="F314" s="75"/>
      <c r="G314" s="75"/>
    </row>
    <row r="315">
      <c r="B315" s="79"/>
      <c r="D315" s="75"/>
      <c r="E315" s="75"/>
      <c r="F315" s="75"/>
      <c r="G315" s="75"/>
    </row>
    <row r="316">
      <c r="B316" s="79"/>
      <c r="D316" s="75"/>
      <c r="E316" s="75"/>
      <c r="F316" s="75"/>
      <c r="G316" s="75"/>
    </row>
    <row r="317">
      <c r="B317" s="79"/>
      <c r="D317" s="75"/>
      <c r="E317" s="75"/>
      <c r="F317" s="75"/>
      <c r="G317" s="75"/>
    </row>
    <row r="318">
      <c r="B318" s="79"/>
      <c r="D318" s="75"/>
      <c r="E318" s="75"/>
      <c r="F318" s="75"/>
      <c r="G318" s="75"/>
    </row>
    <row r="319">
      <c r="B319" s="79"/>
      <c r="D319" s="75"/>
      <c r="E319" s="75"/>
      <c r="F319" s="75"/>
      <c r="G319" s="75"/>
    </row>
    <row r="320">
      <c r="B320" s="79"/>
      <c r="D320" s="75"/>
      <c r="E320" s="75"/>
      <c r="F320" s="75"/>
      <c r="G320" s="75"/>
    </row>
    <row r="321">
      <c r="B321" s="79"/>
      <c r="D321" s="75"/>
      <c r="E321" s="75"/>
      <c r="F321" s="75"/>
      <c r="G321" s="75"/>
    </row>
    <row r="322">
      <c r="B322" s="79"/>
      <c r="D322" s="75"/>
      <c r="E322" s="75"/>
      <c r="F322" s="75"/>
      <c r="G322" s="75"/>
    </row>
    <row r="323">
      <c r="B323" s="79"/>
      <c r="D323" s="75"/>
      <c r="E323" s="75"/>
      <c r="F323" s="75"/>
      <c r="G323" s="75"/>
    </row>
    <row r="324">
      <c r="B324" s="79"/>
      <c r="D324" s="75"/>
      <c r="E324" s="75"/>
      <c r="F324" s="75"/>
      <c r="G324" s="75"/>
    </row>
    <row r="325">
      <c r="B325" s="79"/>
      <c r="D325" s="75"/>
      <c r="E325" s="75"/>
      <c r="F325" s="75"/>
      <c r="G325" s="75"/>
    </row>
    <row r="326">
      <c r="B326" s="79"/>
      <c r="D326" s="75"/>
      <c r="E326" s="75"/>
      <c r="F326" s="75"/>
      <c r="G326" s="75"/>
    </row>
    <row r="327">
      <c r="B327" s="79"/>
      <c r="D327" s="75"/>
      <c r="E327" s="75"/>
      <c r="F327" s="75"/>
      <c r="G327" s="75"/>
    </row>
    <row r="328">
      <c r="B328" s="79"/>
      <c r="D328" s="75"/>
      <c r="E328" s="75"/>
      <c r="F328" s="75"/>
      <c r="G328" s="75"/>
    </row>
    <row r="329">
      <c r="B329" s="79"/>
      <c r="D329" s="75"/>
      <c r="E329" s="75"/>
      <c r="F329" s="75"/>
      <c r="G329" s="75"/>
    </row>
    <row r="330">
      <c r="B330" s="79"/>
      <c r="D330" s="75"/>
      <c r="E330" s="75"/>
      <c r="F330" s="75"/>
      <c r="G330" s="75"/>
    </row>
    <row r="331">
      <c r="B331" s="79"/>
      <c r="D331" s="75"/>
      <c r="E331" s="75"/>
      <c r="F331" s="75"/>
      <c r="G331" s="75"/>
    </row>
    <row r="332">
      <c r="B332" s="79"/>
      <c r="D332" s="75"/>
      <c r="E332" s="75"/>
      <c r="F332" s="75"/>
      <c r="G332" s="75"/>
    </row>
    <row r="333">
      <c r="B333" s="79"/>
      <c r="D333" s="75"/>
      <c r="E333" s="75"/>
      <c r="F333" s="75"/>
      <c r="G333" s="75"/>
    </row>
    <row r="334">
      <c r="B334" s="79"/>
      <c r="D334" s="75"/>
      <c r="E334" s="75"/>
      <c r="F334" s="75"/>
      <c r="G334" s="75"/>
    </row>
    <row r="335">
      <c r="B335" s="79"/>
      <c r="D335" s="75"/>
      <c r="E335" s="75"/>
      <c r="F335" s="75"/>
      <c r="G335" s="75"/>
    </row>
    <row r="336">
      <c r="B336" s="79"/>
      <c r="D336" s="75"/>
      <c r="E336" s="75"/>
      <c r="F336" s="75"/>
      <c r="G336" s="75"/>
    </row>
    <row r="337">
      <c r="B337" s="79"/>
      <c r="D337" s="75"/>
      <c r="E337" s="75"/>
      <c r="F337" s="75"/>
      <c r="G337" s="75"/>
    </row>
    <row r="338">
      <c r="B338" s="79"/>
      <c r="D338" s="75"/>
      <c r="E338" s="75"/>
      <c r="F338" s="75"/>
      <c r="G338" s="75"/>
    </row>
    <row r="339">
      <c r="B339" s="79"/>
      <c r="D339" s="75"/>
      <c r="E339" s="75"/>
      <c r="F339" s="75"/>
      <c r="G339" s="75"/>
    </row>
    <row r="340">
      <c r="B340" s="79"/>
      <c r="D340" s="75"/>
      <c r="E340" s="75"/>
      <c r="F340" s="75"/>
      <c r="G340" s="75"/>
    </row>
    <row r="341">
      <c r="B341" s="79"/>
      <c r="D341" s="75"/>
      <c r="E341" s="75"/>
      <c r="F341" s="75"/>
      <c r="G341" s="75"/>
    </row>
    <row r="342">
      <c r="B342" s="79"/>
      <c r="D342" s="75"/>
      <c r="E342" s="75"/>
      <c r="F342" s="75"/>
      <c r="G342" s="75"/>
    </row>
    <row r="343">
      <c r="B343" s="79"/>
      <c r="D343" s="75"/>
      <c r="E343" s="75"/>
      <c r="F343" s="75"/>
      <c r="G343" s="75"/>
    </row>
    <row r="344">
      <c r="B344" s="79"/>
      <c r="D344" s="75"/>
      <c r="E344" s="75"/>
      <c r="F344" s="75"/>
      <c r="G344" s="75"/>
    </row>
    <row r="345">
      <c r="B345" s="79"/>
      <c r="D345" s="75"/>
      <c r="E345" s="75"/>
      <c r="F345" s="75"/>
      <c r="G345" s="75"/>
    </row>
    <row r="346">
      <c r="B346" s="79"/>
      <c r="D346" s="75"/>
      <c r="E346" s="75"/>
      <c r="F346" s="75"/>
      <c r="G346" s="75"/>
    </row>
    <row r="347">
      <c r="B347" s="79"/>
      <c r="D347" s="75"/>
      <c r="E347" s="75"/>
      <c r="F347" s="75"/>
      <c r="G347" s="75"/>
    </row>
    <row r="348">
      <c r="B348" s="79"/>
      <c r="D348" s="75"/>
      <c r="E348" s="75"/>
      <c r="F348" s="75"/>
      <c r="G348" s="75"/>
    </row>
    <row r="349">
      <c r="B349" s="79"/>
      <c r="D349" s="75"/>
      <c r="E349" s="75"/>
      <c r="F349" s="75"/>
      <c r="G349" s="75"/>
    </row>
    <row r="350">
      <c r="B350" s="79"/>
      <c r="D350" s="75"/>
      <c r="E350" s="75"/>
      <c r="F350" s="75"/>
      <c r="G350" s="75"/>
    </row>
    <row r="351">
      <c r="B351" s="79"/>
      <c r="D351" s="75"/>
      <c r="E351" s="75"/>
      <c r="F351" s="75"/>
      <c r="G351" s="75"/>
    </row>
    <row r="352">
      <c r="B352" s="79"/>
      <c r="D352" s="75"/>
      <c r="E352" s="75"/>
      <c r="F352" s="75"/>
      <c r="G352" s="75"/>
    </row>
    <row r="353">
      <c r="B353" s="79"/>
      <c r="D353" s="75"/>
      <c r="E353" s="75"/>
      <c r="F353" s="75"/>
      <c r="G353" s="75"/>
    </row>
    <row r="354">
      <c r="B354" s="79"/>
      <c r="D354" s="75"/>
      <c r="E354" s="75"/>
      <c r="F354" s="75"/>
      <c r="G354" s="75"/>
    </row>
    <row r="355">
      <c r="B355" s="79"/>
      <c r="D355" s="75"/>
      <c r="E355" s="75"/>
      <c r="F355" s="75"/>
      <c r="G355" s="75"/>
    </row>
    <row r="356">
      <c r="B356" s="79"/>
      <c r="D356" s="75"/>
      <c r="E356" s="75"/>
      <c r="F356" s="75"/>
      <c r="G356" s="75"/>
    </row>
    <row r="357">
      <c r="B357" s="79"/>
      <c r="D357" s="75"/>
      <c r="E357" s="75"/>
      <c r="F357" s="75"/>
      <c r="G357" s="75"/>
    </row>
    <row r="358">
      <c r="B358" s="79"/>
      <c r="D358" s="75"/>
      <c r="E358" s="75"/>
      <c r="F358" s="75"/>
      <c r="G358" s="75"/>
    </row>
    <row r="359">
      <c r="B359" s="79"/>
      <c r="D359" s="75"/>
      <c r="E359" s="75"/>
      <c r="F359" s="75"/>
      <c r="G359" s="75"/>
    </row>
    <row r="360">
      <c r="B360" s="79"/>
      <c r="D360" s="75"/>
      <c r="E360" s="75"/>
      <c r="F360" s="75"/>
      <c r="G360" s="75"/>
    </row>
    <row r="361">
      <c r="B361" s="79"/>
      <c r="D361" s="75"/>
      <c r="E361" s="75"/>
      <c r="F361" s="75"/>
      <c r="G361" s="75"/>
    </row>
    <row r="362">
      <c r="B362" s="79"/>
      <c r="D362" s="75"/>
      <c r="E362" s="75"/>
      <c r="F362" s="75"/>
      <c r="G362" s="75"/>
    </row>
    <row r="363">
      <c r="B363" s="79"/>
      <c r="D363" s="75"/>
      <c r="E363" s="75"/>
      <c r="F363" s="75"/>
      <c r="G363" s="75"/>
    </row>
    <row r="364">
      <c r="B364" s="79"/>
      <c r="D364" s="75"/>
      <c r="E364" s="75"/>
      <c r="F364" s="75"/>
      <c r="G364" s="75"/>
    </row>
    <row r="365">
      <c r="B365" s="79"/>
      <c r="D365" s="75"/>
      <c r="E365" s="75"/>
      <c r="F365" s="75"/>
      <c r="G365" s="75"/>
    </row>
    <row r="366">
      <c r="B366" s="79"/>
      <c r="D366" s="75"/>
      <c r="E366" s="75"/>
      <c r="F366" s="75"/>
      <c r="G366" s="75"/>
    </row>
    <row r="367">
      <c r="B367" s="79"/>
      <c r="D367" s="75"/>
      <c r="E367" s="75"/>
      <c r="F367" s="75"/>
      <c r="G367" s="75"/>
    </row>
    <row r="368">
      <c r="B368" s="79"/>
      <c r="D368" s="75"/>
      <c r="E368" s="75"/>
      <c r="F368" s="75"/>
      <c r="G368" s="75"/>
    </row>
    <row r="369">
      <c r="B369" s="79"/>
      <c r="D369" s="75"/>
      <c r="E369" s="75"/>
      <c r="F369" s="75"/>
      <c r="G369" s="75"/>
    </row>
    <row r="370">
      <c r="B370" s="79"/>
      <c r="D370" s="75"/>
      <c r="E370" s="75"/>
      <c r="F370" s="75"/>
      <c r="G370" s="75"/>
    </row>
    <row r="371">
      <c r="B371" s="79"/>
      <c r="D371" s="75"/>
      <c r="E371" s="75"/>
      <c r="F371" s="75"/>
      <c r="G371" s="75"/>
    </row>
    <row r="372">
      <c r="B372" s="79"/>
      <c r="D372" s="75"/>
      <c r="E372" s="75"/>
      <c r="F372" s="75"/>
      <c r="G372" s="75"/>
    </row>
    <row r="373">
      <c r="B373" s="79"/>
      <c r="D373" s="75"/>
      <c r="E373" s="75"/>
      <c r="F373" s="75"/>
      <c r="G373" s="75"/>
    </row>
    <row r="374">
      <c r="B374" s="79"/>
      <c r="D374" s="75"/>
      <c r="E374" s="75"/>
      <c r="F374" s="75"/>
      <c r="G374" s="75"/>
    </row>
    <row r="375">
      <c r="B375" s="79"/>
      <c r="D375" s="75"/>
      <c r="E375" s="75"/>
      <c r="F375" s="75"/>
      <c r="G375" s="75"/>
    </row>
    <row r="376">
      <c r="B376" s="79"/>
      <c r="D376" s="75"/>
      <c r="E376" s="75"/>
      <c r="F376" s="75"/>
      <c r="G376" s="75"/>
    </row>
    <row r="377">
      <c r="B377" s="79"/>
      <c r="D377" s="75"/>
      <c r="E377" s="75"/>
      <c r="F377" s="75"/>
      <c r="G377" s="75"/>
    </row>
    <row r="378">
      <c r="B378" s="79"/>
      <c r="D378" s="75"/>
      <c r="E378" s="75"/>
      <c r="F378" s="75"/>
      <c r="G378" s="75"/>
    </row>
    <row r="379">
      <c r="B379" s="79"/>
      <c r="D379" s="75"/>
      <c r="E379" s="75"/>
      <c r="F379" s="75"/>
      <c r="G379" s="75"/>
    </row>
    <row r="380">
      <c r="B380" s="79"/>
      <c r="D380" s="75"/>
      <c r="E380" s="75"/>
      <c r="F380" s="75"/>
      <c r="G380" s="75"/>
    </row>
    <row r="381">
      <c r="B381" s="79"/>
      <c r="D381" s="75"/>
      <c r="E381" s="75"/>
      <c r="F381" s="75"/>
      <c r="G381" s="75"/>
    </row>
    <row r="382">
      <c r="B382" s="79"/>
      <c r="D382" s="75"/>
      <c r="E382" s="75"/>
      <c r="F382" s="75"/>
      <c r="G382" s="75"/>
    </row>
    <row r="383">
      <c r="B383" s="79"/>
      <c r="D383" s="75"/>
      <c r="E383" s="75"/>
      <c r="F383" s="75"/>
      <c r="G383" s="75"/>
    </row>
    <row r="384">
      <c r="B384" s="79"/>
      <c r="D384" s="75"/>
      <c r="E384" s="75"/>
      <c r="F384" s="75"/>
      <c r="G384" s="75"/>
    </row>
    <row r="385">
      <c r="B385" s="79"/>
      <c r="D385" s="75"/>
      <c r="E385" s="75"/>
      <c r="F385" s="75"/>
      <c r="G385" s="75"/>
    </row>
    <row r="386">
      <c r="B386" s="79"/>
      <c r="D386" s="75"/>
      <c r="E386" s="75"/>
      <c r="F386" s="75"/>
      <c r="G386" s="75"/>
    </row>
    <row r="387">
      <c r="B387" s="79"/>
      <c r="D387" s="75"/>
      <c r="E387" s="75"/>
      <c r="F387" s="75"/>
      <c r="G387" s="75"/>
    </row>
    <row r="388">
      <c r="B388" s="79"/>
      <c r="D388" s="75"/>
      <c r="E388" s="75"/>
      <c r="F388" s="75"/>
      <c r="G388" s="75"/>
    </row>
    <row r="389">
      <c r="B389" s="79"/>
      <c r="D389" s="75"/>
      <c r="E389" s="75"/>
      <c r="F389" s="75"/>
      <c r="G389" s="75"/>
    </row>
    <row r="390">
      <c r="B390" s="79"/>
      <c r="D390" s="75"/>
      <c r="E390" s="75"/>
      <c r="F390" s="75"/>
      <c r="G390" s="75"/>
    </row>
    <row r="391">
      <c r="B391" s="79"/>
      <c r="D391" s="75"/>
      <c r="E391" s="75"/>
      <c r="F391" s="75"/>
      <c r="G391" s="75"/>
    </row>
    <row r="392">
      <c r="B392" s="79"/>
      <c r="D392" s="75"/>
      <c r="E392" s="75"/>
      <c r="F392" s="75"/>
      <c r="G392" s="75"/>
    </row>
    <row r="393">
      <c r="B393" s="79"/>
      <c r="D393" s="75"/>
      <c r="E393" s="75"/>
      <c r="F393" s="75"/>
      <c r="G393" s="75"/>
    </row>
    <row r="394">
      <c r="B394" s="79"/>
      <c r="D394" s="75"/>
      <c r="E394" s="75"/>
      <c r="F394" s="75"/>
      <c r="G394" s="75"/>
    </row>
    <row r="395">
      <c r="B395" s="79"/>
      <c r="D395" s="75"/>
      <c r="E395" s="75"/>
      <c r="F395" s="75"/>
      <c r="G395" s="75"/>
    </row>
    <row r="396">
      <c r="B396" s="79"/>
      <c r="D396" s="75"/>
      <c r="E396" s="75"/>
      <c r="F396" s="75"/>
      <c r="G396" s="75"/>
    </row>
    <row r="397">
      <c r="B397" s="79"/>
      <c r="D397" s="75"/>
      <c r="E397" s="75"/>
      <c r="F397" s="75"/>
      <c r="G397" s="75"/>
    </row>
    <row r="398">
      <c r="B398" s="79"/>
      <c r="D398" s="75"/>
      <c r="E398" s="75"/>
      <c r="F398" s="75"/>
      <c r="G398" s="75"/>
    </row>
    <row r="399">
      <c r="B399" s="79"/>
      <c r="D399" s="75"/>
      <c r="E399" s="75"/>
      <c r="F399" s="75"/>
      <c r="G399" s="75"/>
    </row>
    <row r="400">
      <c r="B400" s="79"/>
      <c r="D400" s="75"/>
      <c r="E400" s="75"/>
      <c r="F400" s="75"/>
      <c r="G400" s="75"/>
    </row>
    <row r="401">
      <c r="B401" s="79"/>
      <c r="D401" s="75"/>
      <c r="E401" s="75"/>
      <c r="F401" s="75"/>
      <c r="G401" s="75"/>
    </row>
    <row r="402">
      <c r="B402" s="79"/>
      <c r="D402" s="75"/>
      <c r="E402" s="75"/>
      <c r="F402" s="75"/>
      <c r="G402" s="75"/>
    </row>
    <row r="403">
      <c r="B403" s="79"/>
      <c r="D403" s="75"/>
      <c r="E403" s="75"/>
      <c r="F403" s="75"/>
      <c r="G403" s="75"/>
    </row>
    <row r="404">
      <c r="B404" s="79"/>
      <c r="D404" s="75"/>
      <c r="E404" s="75"/>
      <c r="F404" s="75"/>
      <c r="G404" s="75"/>
    </row>
    <row r="405">
      <c r="B405" s="79"/>
      <c r="D405" s="75"/>
      <c r="E405" s="75"/>
      <c r="F405" s="75"/>
      <c r="G405" s="75"/>
    </row>
    <row r="406">
      <c r="B406" s="79"/>
      <c r="D406" s="75"/>
      <c r="E406" s="75"/>
      <c r="F406" s="75"/>
      <c r="G406" s="75"/>
    </row>
    <row r="407">
      <c r="B407" s="79"/>
      <c r="D407" s="75"/>
      <c r="E407" s="75"/>
      <c r="F407" s="75"/>
      <c r="G407" s="75"/>
    </row>
    <row r="408">
      <c r="B408" s="79"/>
      <c r="D408" s="75"/>
      <c r="E408" s="75"/>
      <c r="F408" s="75"/>
      <c r="G408" s="75"/>
    </row>
    <row r="409">
      <c r="B409" s="79"/>
      <c r="D409" s="75"/>
      <c r="E409" s="75"/>
      <c r="F409" s="75"/>
      <c r="G409" s="75"/>
    </row>
    <row r="410">
      <c r="B410" s="79"/>
      <c r="D410" s="75"/>
      <c r="E410" s="75"/>
      <c r="F410" s="75"/>
      <c r="G410" s="75"/>
    </row>
    <row r="411">
      <c r="B411" s="79"/>
      <c r="D411" s="75"/>
      <c r="E411" s="75"/>
      <c r="F411" s="75"/>
      <c r="G411" s="75"/>
    </row>
    <row r="412">
      <c r="B412" s="79"/>
      <c r="D412" s="75"/>
      <c r="E412" s="75"/>
      <c r="F412" s="75"/>
      <c r="G412" s="75"/>
    </row>
    <row r="413">
      <c r="B413" s="79"/>
      <c r="D413" s="75"/>
      <c r="E413" s="75"/>
      <c r="F413" s="75"/>
      <c r="G413" s="75"/>
    </row>
    <row r="414">
      <c r="B414" s="79"/>
      <c r="D414" s="75"/>
      <c r="E414" s="75"/>
      <c r="F414" s="75"/>
      <c r="G414" s="75"/>
    </row>
    <row r="415">
      <c r="B415" s="79"/>
      <c r="D415" s="75"/>
      <c r="E415" s="75"/>
      <c r="F415" s="75"/>
      <c r="G415" s="75"/>
    </row>
    <row r="416">
      <c r="B416" s="79"/>
      <c r="D416" s="75"/>
      <c r="E416" s="75"/>
      <c r="F416" s="75"/>
      <c r="G416" s="75"/>
    </row>
    <row r="417">
      <c r="B417" s="79"/>
      <c r="D417" s="75"/>
      <c r="E417" s="75"/>
      <c r="F417" s="75"/>
      <c r="G417" s="75"/>
    </row>
    <row r="418">
      <c r="B418" s="79"/>
      <c r="D418" s="75"/>
      <c r="E418" s="75"/>
      <c r="F418" s="75"/>
      <c r="G418" s="75"/>
    </row>
    <row r="419">
      <c r="B419" s="79"/>
      <c r="D419" s="75"/>
      <c r="E419" s="75"/>
      <c r="F419" s="75"/>
      <c r="G419" s="75"/>
    </row>
    <row r="420">
      <c r="B420" s="79"/>
      <c r="D420" s="75"/>
      <c r="E420" s="75"/>
      <c r="F420" s="75"/>
      <c r="G420" s="75"/>
    </row>
    <row r="421">
      <c r="B421" s="79"/>
      <c r="D421" s="75"/>
      <c r="E421" s="75"/>
      <c r="F421" s="75"/>
      <c r="G421" s="75"/>
    </row>
    <row r="422">
      <c r="B422" s="79"/>
      <c r="D422" s="75"/>
      <c r="E422" s="75"/>
      <c r="F422" s="75"/>
      <c r="G422" s="75"/>
    </row>
    <row r="423">
      <c r="B423" s="79"/>
      <c r="D423" s="75"/>
      <c r="E423" s="75"/>
      <c r="F423" s="75"/>
      <c r="G423" s="75"/>
    </row>
    <row r="424">
      <c r="B424" s="79"/>
      <c r="D424" s="75"/>
      <c r="E424" s="75"/>
      <c r="F424" s="75"/>
      <c r="G424" s="75"/>
    </row>
    <row r="425">
      <c r="B425" s="79"/>
      <c r="D425" s="75"/>
      <c r="E425" s="75"/>
      <c r="F425" s="75"/>
      <c r="G425" s="75"/>
    </row>
    <row r="426">
      <c r="B426" s="79"/>
      <c r="D426" s="75"/>
      <c r="E426" s="75"/>
      <c r="F426" s="75"/>
      <c r="G426" s="75"/>
    </row>
    <row r="427">
      <c r="B427" s="79"/>
      <c r="D427" s="75"/>
      <c r="E427" s="75"/>
      <c r="F427" s="75"/>
      <c r="G427" s="75"/>
    </row>
    <row r="428">
      <c r="B428" s="79"/>
      <c r="D428" s="75"/>
      <c r="E428" s="75"/>
      <c r="F428" s="75"/>
      <c r="G428" s="75"/>
    </row>
    <row r="429">
      <c r="B429" s="79"/>
      <c r="D429" s="75"/>
      <c r="E429" s="75"/>
      <c r="F429" s="75"/>
      <c r="G429" s="75"/>
    </row>
    <row r="430">
      <c r="B430" s="79"/>
      <c r="D430" s="75"/>
      <c r="E430" s="75"/>
      <c r="F430" s="75"/>
      <c r="G430" s="75"/>
    </row>
    <row r="431">
      <c r="B431" s="79"/>
      <c r="D431" s="75"/>
      <c r="E431" s="75"/>
      <c r="F431" s="75"/>
      <c r="G431" s="75"/>
    </row>
    <row r="432">
      <c r="B432" s="79"/>
      <c r="D432" s="75"/>
      <c r="E432" s="75"/>
      <c r="F432" s="75"/>
      <c r="G432" s="75"/>
    </row>
    <row r="433">
      <c r="B433" s="79"/>
      <c r="D433" s="75"/>
      <c r="E433" s="75"/>
      <c r="F433" s="75"/>
      <c r="G433" s="75"/>
    </row>
    <row r="434">
      <c r="B434" s="79"/>
      <c r="D434" s="75"/>
      <c r="E434" s="75"/>
      <c r="F434" s="75"/>
      <c r="G434" s="75"/>
    </row>
    <row r="435">
      <c r="B435" s="79"/>
      <c r="D435" s="75"/>
      <c r="E435" s="75"/>
      <c r="F435" s="75"/>
      <c r="G435" s="75"/>
    </row>
    <row r="436">
      <c r="B436" s="79"/>
      <c r="D436" s="75"/>
      <c r="E436" s="75"/>
      <c r="F436" s="75"/>
      <c r="G436" s="75"/>
    </row>
    <row r="437">
      <c r="B437" s="79"/>
      <c r="D437" s="75"/>
      <c r="E437" s="75"/>
      <c r="F437" s="75"/>
      <c r="G437" s="75"/>
    </row>
    <row r="438">
      <c r="B438" s="79"/>
      <c r="D438" s="75"/>
      <c r="E438" s="75"/>
      <c r="F438" s="75"/>
      <c r="G438" s="75"/>
    </row>
    <row r="439">
      <c r="B439" s="79"/>
      <c r="D439" s="75"/>
      <c r="E439" s="75"/>
      <c r="F439" s="75"/>
      <c r="G439" s="75"/>
    </row>
    <row r="440">
      <c r="B440" s="79"/>
      <c r="D440" s="75"/>
      <c r="E440" s="75"/>
      <c r="F440" s="75"/>
      <c r="G440" s="75"/>
    </row>
    <row r="441">
      <c r="B441" s="79"/>
      <c r="D441" s="75"/>
      <c r="E441" s="75"/>
      <c r="F441" s="75"/>
      <c r="G441" s="75"/>
    </row>
    <row r="442">
      <c r="B442" s="79"/>
      <c r="D442" s="75"/>
      <c r="E442" s="75"/>
      <c r="F442" s="75"/>
      <c r="G442" s="75"/>
    </row>
    <row r="443">
      <c r="B443" s="79"/>
      <c r="D443" s="75"/>
      <c r="E443" s="75"/>
      <c r="F443" s="75"/>
      <c r="G443" s="75"/>
    </row>
    <row r="444">
      <c r="B444" s="79"/>
      <c r="D444" s="75"/>
      <c r="E444" s="75"/>
      <c r="F444" s="75"/>
      <c r="G444" s="75"/>
    </row>
    <row r="445">
      <c r="B445" s="79"/>
      <c r="D445" s="75"/>
      <c r="E445" s="75"/>
      <c r="F445" s="75"/>
      <c r="G445" s="75"/>
    </row>
    <row r="446">
      <c r="B446" s="79"/>
      <c r="D446" s="75"/>
      <c r="E446" s="75"/>
      <c r="F446" s="75"/>
      <c r="G446" s="75"/>
    </row>
    <row r="447">
      <c r="B447" s="79"/>
      <c r="D447" s="75"/>
      <c r="E447" s="75"/>
      <c r="F447" s="75"/>
      <c r="G447" s="75"/>
    </row>
    <row r="448">
      <c r="B448" s="79"/>
      <c r="D448" s="75"/>
      <c r="E448" s="75"/>
      <c r="F448" s="75"/>
      <c r="G448" s="75"/>
    </row>
    <row r="449">
      <c r="B449" s="79"/>
      <c r="D449" s="75"/>
      <c r="E449" s="75"/>
      <c r="F449" s="75"/>
      <c r="G449" s="75"/>
    </row>
    <row r="450">
      <c r="B450" s="79"/>
      <c r="D450" s="75"/>
      <c r="E450" s="75"/>
      <c r="F450" s="75"/>
      <c r="G450" s="75"/>
    </row>
    <row r="451">
      <c r="B451" s="79"/>
      <c r="D451" s="75"/>
      <c r="E451" s="75"/>
      <c r="F451" s="75"/>
      <c r="G451" s="75"/>
    </row>
    <row r="452">
      <c r="B452" s="79"/>
      <c r="D452" s="75"/>
      <c r="E452" s="75"/>
      <c r="F452" s="75"/>
      <c r="G452" s="75"/>
    </row>
    <row r="453">
      <c r="B453" s="79"/>
      <c r="D453" s="75"/>
      <c r="E453" s="75"/>
      <c r="F453" s="75"/>
      <c r="G453" s="75"/>
    </row>
    <row r="454">
      <c r="B454" s="79"/>
      <c r="D454" s="75"/>
      <c r="E454" s="75"/>
      <c r="F454" s="75"/>
      <c r="G454" s="75"/>
    </row>
    <row r="455">
      <c r="B455" s="79"/>
      <c r="D455" s="75"/>
      <c r="E455" s="75"/>
      <c r="F455" s="75"/>
      <c r="G455" s="75"/>
    </row>
    <row r="456">
      <c r="B456" s="79"/>
      <c r="D456" s="75"/>
      <c r="E456" s="75"/>
      <c r="F456" s="75"/>
      <c r="G456" s="75"/>
    </row>
    <row r="457">
      <c r="B457" s="79"/>
      <c r="D457" s="75"/>
      <c r="E457" s="75"/>
      <c r="F457" s="75"/>
      <c r="G457" s="75"/>
    </row>
    <row r="458">
      <c r="B458" s="79"/>
      <c r="D458" s="75"/>
      <c r="E458" s="75"/>
      <c r="F458" s="75"/>
      <c r="G458" s="75"/>
    </row>
    <row r="459">
      <c r="B459" s="79"/>
      <c r="D459" s="75"/>
      <c r="E459" s="75"/>
      <c r="F459" s="75"/>
      <c r="G459" s="75"/>
    </row>
    <row r="460">
      <c r="B460" s="79"/>
      <c r="D460" s="75"/>
      <c r="E460" s="75"/>
      <c r="F460" s="75"/>
      <c r="G460" s="75"/>
    </row>
    <row r="461">
      <c r="B461" s="79"/>
      <c r="D461" s="75"/>
      <c r="E461" s="75"/>
      <c r="F461" s="75"/>
      <c r="G461" s="75"/>
    </row>
    <row r="462">
      <c r="B462" s="79"/>
      <c r="D462" s="75"/>
      <c r="E462" s="75"/>
      <c r="F462" s="75"/>
      <c r="G462" s="75"/>
    </row>
    <row r="463">
      <c r="B463" s="79"/>
      <c r="D463" s="75"/>
      <c r="E463" s="75"/>
      <c r="F463" s="75"/>
      <c r="G463" s="75"/>
    </row>
    <row r="464">
      <c r="B464" s="79"/>
      <c r="D464" s="75"/>
      <c r="E464" s="75"/>
      <c r="F464" s="75"/>
      <c r="G464" s="75"/>
    </row>
    <row r="465">
      <c r="B465" s="79"/>
      <c r="D465" s="75"/>
      <c r="E465" s="75"/>
      <c r="F465" s="75"/>
      <c r="G465" s="75"/>
    </row>
    <row r="466">
      <c r="B466" s="79"/>
      <c r="D466" s="75"/>
      <c r="E466" s="75"/>
      <c r="F466" s="75"/>
      <c r="G466" s="75"/>
    </row>
    <row r="467">
      <c r="B467" s="79"/>
      <c r="D467" s="75"/>
      <c r="E467" s="75"/>
      <c r="F467" s="75"/>
      <c r="G467" s="75"/>
    </row>
    <row r="468">
      <c r="B468" s="79"/>
      <c r="D468" s="75"/>
      <c r="E468" s="75"/>
      <c r="F468" s="75"/>
      <c r="G468" s="75"/>
    </row>
    <row r="469">
      <c r="B469" s="79"/>
      <c r="D469" s="75"/>
      <c r="E469" s="75"/>
      <c r="F469" s="75"/>
      <c r="G469" s="75"/>
    </row>
    <row r="470">
      <c r="B470" s="79"/>
      <c r="D470" s="75"/>
      <c r="E470" s="75"/>
      <c r="F470" s="75"/>
      <c r="G470" s="75"/>
    </row>
    <row r="471">
      <c r="B471" s="79"/>
      <c r="D471" s="75"/>
      <c r="E471" s="75"/>
      <c r="F471" s="75"/>
      <c r="G471" s="75"/>
    </row>
    <row r="472">
      <c r="B472" s="79"/>
      <c r="D472" s="75"/>
      <c r="E472" s="75"/>
      <c r="F472" s="75"/>
      <c r="G472" s="75"/>
    </row>
    <row r="473">
      <c r="B473" s="79"/>
      <c r="D473" s="75"/>
      <c r="E473" s="75"/>
      <c r="F473" s="75"/>
      <c r="G473" s="75"/>
    </row>
    <row r="474">
      <c r="B474" s="79"/>
      <c r="D474" s="75"/>
      <c r="E474" s="75"/>
      <c r="F474" s="75"/>
      <c r="G474" s="75"/>
    </row>
    <row r="475">
      <c r="B475" s="79"/>
      <c r="D475" s="75"/>
      <c r="E475" s="75"/>
      <c r="F475" s="75"/>
      <c r="G475" s="75"/>
    </row>
    <row r="476">
      <c r="B476" s="79"/>
      <c r="D476" s="75"/>
      <c r="E476" s="75"/>
      <c r="F476" s="75"/>
      <c r="G476" s="75"/>
    </row>
    <row r="477">
      <c r="B477" s="79"/>
      <c r="D477" s="75"/>
      <c r="E477" s="75"/>
      <c r="F477" s="75"/>
      <c r="G477" s="75"/>
    </row>
    <row r="478">
      <c r="B478" s="79"/>
      <c r="D478" s="75"/>
      <c r="E478" s="75"/>
      <c r="F478" s="75"/>
      <c r="G478" s="75"/>
    </row>
    <row r="479">
      <c r="B479" s="79"/>
      <c r="D479" s="75"/>
      <c r="E479" s="75"/>
      <c r="F479" s="75"/>
      <c r="G479" s="75"/>
    </row>
    <row r="480">
      <c r="B480" s="79"/>
      <c r="D480" s="75"/>
      <c r="E480" s="75"/>
      <c r="F480" s="75"/>
      <c r="G480" s="75"/>
    </row>
    <row r="481">
      <c r="B481" s="79"/>
      <c r="D481" s="75"/>
      <c r="E481" s="75"/>
      <c r="F481" s="75"/>
      <c r="G481" s="75"/>
    </row>
    <row r="482">
      <c r="B482" s="79"/>
      <c r="D482" s="75"/>
      <c r="E482" s="75"/>
      <c r="F482" s="75"/>
      <c r="G482" s="75"/>
    </row>
    <row r="483">
      <c r="B483" s="79"/>
      <c r="D483" s="75"/>
      <c r="E483" s="75"/>
      <c r="F483" s="75"/>
      <c r="G483" s="75"/>
    </row>
    <row r="484">
      <c r="B484" s="79"/>
      <c r="D484" s="75"/>
      <c r="E484" s="75"/>
      <c r="F484" s="75"/>
      <c r="G484" s="75"/>
    </row>
    <row r="485">
      <c r="B485" s="79"/>
      <c r="D485" s="75"/>
      <c r="E485" s="75"/>
      <c r="F485" s="75"/>
      <c r="G485" s="75"/>
    </row>
    <row r="486">
      <c r="B486" s="79"/>
      <c r="D486" s="75"/>
      <c r="E486" s="75"/>
      <c r="F486" s="75"/>
      <c r="G486" s="75"/>
    </row>
    <row r="487">
      <c r="B487" s="79"/>
      <c r="D487" s="75"/>
      <c r="E487" s="75"/>
      <c r="F487" s="75"/>
      <c r="G487" s="75"/>
    </row>
    <row r="488">
      <c r="B488" s="79"/>
      <c r="D488" s="75"/>
      <c r="E488" s="75"/>
      <c r="F488" s="75"/>
      <c r="G488" s="75"/>
    </row>
    <row r="489">
      <c r="B489" s="79"/>
      <c r="D489" s="75"/>
      <c r="E489" s="75"/>
      <c r="F489" s="75"/>
      <c r="G489" s="75"/>
    </row>
    <row r="490">
      <c r="B490" s="79"/>
      <c r="D490" s="75"/>
      <c r="E490" s="75"/>
      <c r="F490" s="75"/>
      <c r="G490" s="75"/>
    </row>
    <row r="491">
      <c r="B491" s="79"/>
      <c r="D491" s="75"/>
      <c r="E491" s="75"/>
      <c r="F491" s="75"/>
      <c r="G491" s="75"/>
    </row>
    <row r="492">
      <c r="B492" s="79"/>
      <c r="D492" s="75"/>
      <c r="E492" s="75"/>
      <c r="F492" s="75"/>
      <c r="G492" s="75"/>
    </row>
    <row r="493">
      <c r="B493" s="79"/>
      <c r="D493" s="75"/>
      <c r="E493" s="75"/>
      <c r="F493" s="75"/>
      <c r="G493" s="75"/>
    </row>
    <row r="494">
      <c r="B494" s="79"/>
      <c r="D494" s="75"/>
      <c r="E494" s="75"/>
      <c r="F494" s="75"/>
      <c r="G494" s="75"/>
    </row>
    <row r="495">
      <c r="B495" s="79"/>
      <c r="D495" s="75"/>
      <c r="E495" s="75"/>
      <c r="F495" s="75"/>
      <c r="G495" s="75"/>
    </row>
    <row r="496">
      <c r="B496" s="79"/>
      <c r="D496" s="75"/>
      <c r="E496" s="75"/>
      <c r="F496" s="75"/>
      <c r="G496" s="75"/>
    </row>
    <row r="497">
      <c r="B497" s="79"/>
      <c r="D497" s="75"/>
      <c r="E497" s="75"/>
      <c r="F497" s="75"/>
      <c r="G497" s="75"/>
    </row>
    <row r="498">
      <c r="B498" s="79"/>
      <c r="D498" s="75"/>
      <c r="E498" s="75"/>
      <c r="F498" s="75"/>
      <c r="G498" s="75"/>
    </row>
    <row r="499">
      <c r="B499" s="79"/>
      <c r="D499" s="75"/>
      <c r="E499" s="75"/>
      <c r="F499" s="75"/>
      <c r="G499" s="75"/>
    </row>
    <row r="500">
      <c r="B500" s="79"/>
      <c r="D500" s="75"/>
      <c r="E500" s="75"/>
      <c r="F500" s="75"/>
      <c r="G500" s="75"/>
    </row>
    <row r="501">
      <c r="B501" s="79"/>
      <c r="D501" s="75"/>
      <c r="E501" s="75"/>
      <c r="F501" s="75"/>
      <c r="G501" s="75"/>
    </row>
    <row r="502">
      <c r="B502" s="79"/>
      <c r="D502" s="75"/>
      <c r="E502" s="75"/>
      <c r="F502" s="75"/>
      <c r="G502" s="75"/>
    </row>
    <row r="503">
      <c r="B503" s="79"/>
      <c r="D503" s="75"/>
      <c r="E503" s="75"/>
      <c r="F503" s="75"/>
      <c r="G503" s="75"/>
    </row>
    <row r="504">
      <c r="B504" s="79"/>
      <c r="D504" s="75"/>
      <c r="E504" s="75"/>
      <c r="F504" s="75"/>
      <c r="G504" s="75"/>
    </row>
    <row r="505">
      <c r="B505" s="79"/>
      <c r="D505" s="75"/>
      <c r="E505" s="75"/>
      <c r="F505" s="75"/>
      <c r="G505" s="75"/>
    </row>
    <row r="506">
      <c r="B506" s="79"/>
      <c r="D506" s="75"/>
      <c r="E506" s="75"/>
      <c r="F506" s="75"/>
      <c r="G506" s="75"/>
    </row>
    <row r="507">
      <c r="B507" s="79"/>
      <c r="D507" s="75"/>
      <c r="E507" s="75"/>
      <c r="F507" s="75"/>
      <c r="G507" s="75"/>
    </row>
    <row r="508">
      <c r="B508" s="79"/>
      <c r="D508" s="75"/>
      <c r="E508" s="75"/>
      <c r="F508" s="75"/>
      <c r="G508" s="75"/>
    </row>
    <row r="509">
      <c r="B509" s="79"/>
      <c r="D509" s="75"/>
      <c r="E509" s="75"/>
      <c r="F509" s="75"/>
      <c r="G509" s="75"/>
    </row>
    <row r="510">
      <c r="B510" s="79"/>
      <c r="D510" s="75"/>
      <c r="E510" s="75"/>
      <c r="F510" s="75"/>
      <c r="G510" s="75"/>
    </row>
    <row r="511">
      <c r="B511" s="79"/>
      <c r="D511" s="75"/>
      <c r="E511" s="75"/>
      <c r="F511" s="75"/>
      <c r="G511" s="75"/>
    </row>
    <row r="512">
      <c r="B512" s="79"/>
      <c r="D512" s="75"/>
      <c r="E512" s="75"/>
      <c r="F512" s="75"/>
      <c r="G512" s="75"/>
    </row>
    <row r="513">
      <c r="B513" s="79"/>
      <c r="D513" s="75"/>
      <c r="E513" s="75"/>
      <c r="F513" s="75"/>
      <c r="G513" s="75"/>
    </row>
    <row r="514">
      <c r="B514" s="79"/>
      <c r="D514" s="75"/>
      <c r="E514" s="75"/>
      <c r="F514" s="75"/>
      <c r="G514" s="75"/>
    </row>
    <row r="515">
      <c r="B515" s="79"/>
      <c r="D515" s="75"/>
      <c r="E515" s="75"/>
      <c r="F515" s="75"/>
      <c r="G515" s="75"/>
    </row>
    <row r="516">
      <c r="B516" s="79"/>
      <c r="D516" s="75"/>
      <c r="E516" s="75"/>
      <c r="F516" s="75"/>
      <c r="G516" s="75"/>
    </row>
    <row r="517">
      <c r="B517" s="79"/>
      <c r="D517" s="75"/>
      <c r="E517" s="75"/>
      <c r="F517" s="75"/>
      <c r="G517" s="75"/>
    </row>
    <row r="518">
      <c r="B518" s="79"/>
      <c r="D518" s="75"/>
      <c r="E518" s="75"/>
      <c r="F518" s="75"/>
      <c r="G518" s="75"/>
    </row>
    <row r="519">
      <c r="B519" s="79"/>
      <c r="D519" s="75"/>
      <c r="E519" s="75"/>
      <c r="F519" s="75"/>
      <c r="G519" s="75"/>
    </row>
    <row r="520">
      <c r="B520" s="79"/>
      <c r="D520" s="75"/>
      <c r="E520" s="75"/>
      <c r="F520" s="75"/>
      <c r="G520" s="75"/>
    </row>
    <row r="521">
      <c r="B521" s="79"/>
      <c r="D521" s="75"/>
      <c r="E521" s="75"/>
      <c r="F521" s="75"/>
      <c r="G521" s="75"/>
    </row>
    <row r="522">
      <c r="B522" s="79"/>
      <c r="D522" s="75"/>
      <c r="E522" s="75"/>
      <c r="F522" s="75"/>
      <c r="G522" s="75"/>
    </row>
    <row r="523">
      <c r="B523" s="79"/>
      <c r="D523" s="75"/>
      <c r="E523" s="75"/>
      <c r="F523" s="75"/>
      <c r="G523" s="75"/>
    </row>
    <row r="524">
      <c r="B524" s="79"/>
      <c r="D524" s="75"/>
      <c r="E524" s="75"/>
      <c r="F524" s="75"/>
      <c r="G524" s="75"/>
    </row>
    <row r="525">
      <c r="B525" s="79"/>
      <c r="D525" s="75"/>
      <c r="E525" s="75"/>
      <c r="F525" s="75"/>
      <c r="G525" s="75"/>
    </row>
    <row r="526">
      <c r="B526" s="79"/>
      <c r="D526" s="75"/>
      <c r="E526" s="75"/>
      <c r="F526" s="75"/>
      <c r="G526" s="75"/>
    </row>
    <row r="527">
      <c r="B527" s="79"/>
      <c r="D527" s="75"/>
      <c r="E527" s="75"/>
      <c r="F527" s="75"/>
      <c r="G527" s="75"/>
    </row>
    <row r="528">
      <c r="B528" s="79"/>
      <c r="D528" s="75"/>
      <c r="E528" s="75"/>
      <c r="F528" s="75"/>
      <c r="G528" s="75"/>
    </row>
    <row r="529">
      <c r="B529" s="79"/>
      <c r="D529" s="75"/>
      <c r="E529" s="75"/>
      <c r="F529" s="75"/>
      <c r="G529" s="75"/>
    </row>
    <row r="530">
      <c r="B530" s="79"/>
      <c r="D530" s="75"/>
      <c r="E530" s="75"/>
      <c r="F530" s="75"/>
      <c r="G530" s="75"/>
    </row>
    <row r="531">
      <c r="B531" s="79"/>
      <c r="D531" s="75"/>
      <c r="E531" s="75"/>
      <c r="F531" s="75"/>
      <c r="G531" s="75"/>
    </row>
    <row r="532">
      <c r="B532" s="79"/>
      <c r="D532" s="75"/>
      <c r="E532" s="75"/>
      <c r="F532" s="75"/>
      <c r="G532" s="75"/>
    </row>
    <row r="533">
      <c r="B533" s="79"/>
      <c r="D533" s="75"/>
      <c r="E533" s="75"/>
      <c r="F533" s="75"/>
      <c r="G533" s="75"/>
    </row>
    <row r="534">
      <c r="B534" s="79"/>
      <c r="D534" s="75"/>
      <c r="E534" s="75"/>
      <c r="F534" s="75"/>
      <c r="G534" s="75"/>
    </row>
    <row r="535">
      <c r="B535" s="79"/>
      <c r="D535" s="75"/>
      <c r="E535" s="75"/>
      <c r="F535" s="75"/>
      <c r="G535" s="75"/>
    </row>
    <row r="536">
      <c r="B536" s="79"/>
      <c r="D536" s="75"/>
      <c r="E536" s="75"/>
      <c r="F536" s="75"/>
      <c r="G536" s="75"/>
    </row>
    <row r="537">
      <c r="B537" s="79"/>
      <c r="D537" s="75"/>
      <c r="E537" s="75"/>
      <c r="F537" s="75"/>
      <c r="G537" s="75"/>
    </row>
    <row r="538">
      <c r="B538" s="79"/>
      <c r="D538" s="75"/>
      <c r="E538" s="75"/>
      <c r="F538" s="75"/>
      <c r="G538" s="75"/>
    </row>
    <row r="539">
      <c r="B539" s="79"/>
      <c r="D539" s="75"/>
      <c r="E539" s="75"/>
      <c r="F539" s="75"/>
      <c r="G539" s="75"/>
    </row>
    <row r="540">
      <c r="B540" s="79"/>
      <c r="D540" s="75"/>
      <c r="E540" s="75"/>
      <c r="F540" s="75"/>
      <c r="G540" s="75"/>
    </row>
    <row r="541">
      <c r="B541" s="79"/>
      <c r="D541" s="75"/>
      <c r="E541" s="75"/>
      <c r="F541" s="75"/>
      <c r="G541" s="75"/>
    </row>
    <row r="542">
      <c r="B542" s="79"/>
      <c r="D542" s="75"/>
      <c r="E542" s="75"/>
      <c r="F542" s="75"/>
      <c r="G542" s="75"/>
    </row>
    <row r="543">
      <c r="B543" s="79"/>
      <c r="D543" s="75"/>
      <c r="E543" s="75"/>
      <c r="F543" s="75"/>
      <c r="G543" s="75"/>
    </row>
    <row r="544">
      <c r="B544" s="79"/>
      <c r="D544" s="75"/>
      <c r="E544" s="75"/>
      <c r="F544" s="75"/>
      <c r="G544" s="75"/>
    </row>
    <row r="545">
      <c r="B545" s="79"/>
      <c r="D545" s="75"/>
      <c r="E545" s="75"/>
      <c r="F545" s="75"/>
      <c r="G545" s="75"/>
    </row>
    <row r="546">
      <c r="B546" s="79"/>
      <c r="D546" s="75"/>
      <c r="E546" s="75"/>
      <c r="F546" s="75"/>
      <c r="G546" s="75"/>
    </row>
    <row r="547">
      <c r="B547" s="79"/>
      <c r="D547" s="75"/>
      <c r="E547" s="75"/>
      <c r="F547" s="75"/>
      <c r="G547" s="75"/>
    </row>
    <row r="548">
      <c r="B548" s="79"/>
      <c r="D548" s="75"/>
      <c r="E548" s="75"/>
      <c r="F548" s="75"/>
      <c r="G548" s="75"/>
    </row>
    <row r="549">
      <c r="B549" s="79"/>
      <c r="D549" s="75"/>
      <c r="E549" s="75"/>
      <c r="F549" s="75"/>
      <c r="G549" s="75"/>
    </row>
    <row r="550">
      <c r="B550" s="79"/>
      <c r="D550" s="75"/>
      <c r="E550" s="75"/>
      <c r="F550" s="75"/>
      <c r="G550" s="75"/>
    </row>
    <row r="551">
      <c r="B551" s="79"/>
      <c r="D551" s="75"/>
      <c r="E551" s="75"/>
      <c r="F551" s="75"/>
      <c r="G551" s="75"/>
    </row>
    <row r="552">
      <c r="B552" s="79"/>
      <c r="D552" s="75"/>
      <c r="E552" s="75"/>
      <c r="F552" s="75"/>
      <c r="G552" s="75"/>
    </row>
    <row r="553">
      <c r="B553" s="79"/>
      <c r="D553" s="75"/>
      <c r="E553" s="75"/>
      <c r="F553" s="75"/>
      <c r="G553" s="75"/>
    </row>
    <row r="554">
      <c r="B554" s="79"/>
      <c r="D554" s="75"/>
      <c r="E554" s="75"/>
      <c r="F554" s="75"/>
      <c r="G554" s="75"/>
    </row>
    <row r="555">
      <c r="B555" s="79"/>
      <c r="D555" s="75"/>
      <c r="E555" s="75"/>
      <c r="F555" s="75"/>
      <c r="G555" s="75"/>
    </row>
    <row r="556">
      <c r="B556" s="79"/>
      <c r="D556" s="75"/>
      <c r="E556" s="75"/>
      <c r="F556" s="75"/>
      <c r="G556" s="75"/>
    </row>
    <row r="557">
      <c r="B557" s="79"/>
      <c r="D557" s="75"/>
      <c r="E557" s="75"/>
      <c r="F557" s="75"/>
      <c r="G557" s="75"/>
    </row>
    <row r="558">
      <c r="B558" s="79"/>
      <c r="D558" s="75"/>
      <c r="E558" s="75"/>
      <c r="F558" s="75"/>
      <c r="G558" s="75"/>
    </row>
    <row r="559">
      <c r="B559" s="79"/>
      <c r="D559" s="75"/>
      <c r="E559" s="75"/>
      <c r="F559" s="75"/>
      <c r="G559" s="75"/>
    </row>
    <row r="560">
      <c r="B560" s="79"/>
      <c r="D560" s="75"/>
      <c r="E560" s="75"/>
      <c r="F560" s="75"/>
      <c r="G560" s="75"/>
    </row>
    <row r="561">
      <c r="B561" s="79"/>
      <c r="D561" s="75"/>
      <c r="E561" s="75"/>
      <c r="F561" s="75"/>
      <c r="G561" s="75"/>
    </row>
    <row r="562">
      <c r="B562" s="79"/>
      <c r="D562" s="75"/>
      <c r="E562" s="75"/>
      <c r="F562" s="75"/>
      <c r="G562" s="75"/>
    </row>
    <row r="563">
      <c r="B563" s="79"/>
      <c r="D563" s="75"/>
      <c r="E563" s="75"/>
      <c r="F563" s="75"/>
      <c r="G563" s="75"/>
    </row>
    <row r="564">
      <c r="B564" s="79"/>
      <c r="D564" s="75"/>
      <c r="E564" s="75"/>
      <c r="F564" s="75"/>
      <c r="G564" s="75"/>
    </row>
    <row r="565">
      <c r="B565" s="79"/>
      <c r="D565" s="75"/>
      <c r="E565" s="75"/>
      <c r="F565" s="75"/>
      <c r="G565" s="75"/>
    </row>
    <row r="566">
      <c r="B566" s="79"/>
      <c r="D566" s="75"/>
      <c r="E566" s="75"/>
      <c r="F566" s="75"/>
      <c r="G566" s="75"/>
    </row>
    <row r="567">
      <c r="B567" s="79"/>
      <c r="D567" s="75"/>
      <c r="E567" s="75"/>
      <c r="F567" s="75"/>
      <c r="G567" s="75"/>
    </row>
    <row r="568">
      <c r="B568" s="79"/>
      <c r="D568" s="75"/>
      <c r="E568" s="75"/>
      <c r="F568" s="75"/>
      <c r="G568" s="75"/>
    </row>
    <row r="569">
      <c r="B569" s="79"/>
      <c r="D569" s="75"/>
      <c r="E569" s="75"/>
      <c r="F569" s="75"/>
      <c r="G569" s="75"/>
    </row>
    <row r="570">
      <c r="B570" s="79"/>
      <c r="D570" s="75"/>
      <c r="E570" s="75"/>
      <c r="F570" s="75"/>
      <c r="G570" s="75"/>
    </row>
    <row r="571">
      <c r="B571" s="79"/>
      <c r="D571" s="75"/>
      <c r="E571" s="75"/>
      <c r="F571" s="75"/>
      <c r="G571" s="75"/>
    </row>
    <row r="572">
      <c r="B572" s="79"/>
      <c r="D572" s="75"/>
      <c r="E572" s="75"/>
      <c r="F572" s="75"/>
      <c r="G572" s="75"/>
    </row>
    <row r="573">
      <c r="B573" s="79"/>
      <c r="D573" s="75"/>
      <c r="E573" s="75"/>
      <c r="F573" s="75"/>
      <c r="G573" s="75"/>
    </row>
    <row r="574">
      <c r="B574" s="79"/>
      <c r="D574" s="75"/>
      <c r="E574" s="75"/>
      <c r="F574" s="75"/>
      <c r="G574" s="75"/>
    </row>
    <row r="575">
      <c r="B575" s="79"/>
      <c r="D575" s="75"/>
      <c r="E575" s="75"/>
      <c r="F575" s="75"/>
      <c r="G575" s="75"/>
    </row>
    <row r="576">
      <c r="B576" s="79"/>
      <c r="D576" s="75"/>
      <c r="E576" s="75"/>
      <c r="F576" s="75"/>
      <c r="G576" s="75"/>
    </row>
    <row r="577">
      <c r="B577" s="79"/>
      <c r="D577" s="75"/>
      <c r="E577" s="75"/>
      <c r="F577" s="75"/>
      <c r="G577" s="75"/>
    </row>
    <row r="578">
      <c r="B578" s="79"/>
      <c r="D578" s="75"/>
      <c r="E578" s="75"/>
      <c r="F578" s="75"/>
      <c r="G578" s="75"/>
    </row>
    <row r="579">
      <c r="B579" s="79"/>
      <c r="D579" s="75"/>
      <c r="E579" s="75"/>
      <c r="F579" s="75"/>
      <c r="G579" s="75"/>
    </row>
    <row r="580">
      <c r="B580" s="79"/>
      <c r="D580" s="75"/>
      <c r="E580" s="75"/>
      <c r="F580" s="75"/>
      <c r="G580" s="75"/>
    </row>
    <row r="581">
      <c r="B581" s="79"/>
      <c r="D581" s="75"/>
      <c r="E581" s="75"/>
      <c r="F581" s="75"/>
      <c r="G581" s="75"/>
    </row>
    <row r="582">
      <c r="B582" s="79"/>
      <c r="D582" s="75"/>
      <c r="E582" s="75"/>
      <c r="F582" s="75"/>
      <c r="G582" s="75"/>
    </row>
    <row r="583">
      <c r="B583" s="79"/>
      <c r="D583" s="75"/>
      <c r="E583" s="75"/>
      <c r="F583" s="75"/>
      <c r="G583" s="75"/>
    </row>
    <row r="584">
      <c r="B584" s="79"/>
      <c r="D584" s="75"/>
      <c r="E584" s="75"/>
      <c r="F584" s="75"/>
      <c r="G584" s="75"/>
    </row>
    <row r="585">
      <c r="B585" s="79"/>
      <c r="D585" s="75"/>
      <c r="E585" s="75"/>
      <c r="F585" s="75"/>
      <c r="G585" s="75"/>
    </row>
    <row r="586">
      <c r="B586" s="79"/>
      <c r="D586" s="75"/>
      <c r="E586" s="75"/>
      <c r="F586" s="75"/>
      <c r="G586" s="75"/>
    </row>
    <row r="587">
      <c r="B587" s="79"/>
      <c r="D587" s="75"/>
      <c r="E587" s="75"/>
      <c r="F587" s="75"/>
      <c r="G587" s="75"/>
    </row>
    <row r="588">
      <c r="B588" s="79"/>
      <c r="D588" s="75"/>
      <c r="E588" s="75"/>
      <c r="F588" s="75"/>
      <c r="G588" s="75"/>
    </row>
    <row r="589">
      <c r="B589" s="79"/>
      <c r="D589" s="75"/>
      <c r="E589" s="75"/>
      <c r="F589" s="75"/>
      <c r="G589" s="75"/>
    </row>
    <row r="590">
      <c r="B590" s="79"/>
      <c r="D590" s="75"/>
      <c r="E590" s="75"/>
      <c r="F590" s="75"/>
      <c r="G590" s="75"/>
    </row>
    <row r="591">
      <c r="B591" s="79"/>
      <c r="D591" s="75"/>
      <c r="E591" s="75"/>
      <c r="F591" s="75"/>
      <c r="G591" s="75"/>
    </row>
    <row r="592">
      <c r="B592" s="79"/>
      <c r="D592" s="75"/>
      <c r="E592" s="75"/>
      <c r="F592" s="75"/>
      <c r="G592" s="75"/>
    </row>
    <row r="593">
      <c r="B593" s="79"/>
      <c r="D593" s="75"/>
      <c r="E593" s="75"/>
      <c r="F593" s="75"/>
      <c r="G593" s="75"/>
    </row>
    <row r="594">
      <c r="B594" s="79"/>
      <c r="D594" s="75"/>
      <c r="E594" s="75"/>
      <c r="F594" s="75"/>
      <c r="G594" s="75"/>
    </row>
    <row r="595">
      <c r="B595" s="79"/>
      <c r="D595" s="75"/>
      <c r="E595" s="75"/>
      <c r="F595" s="75"/>
      <c r="G595" s="75"/>
    </row>
    <row r="596">
      <c r="B596" s="79"/>
      <c r="D596" s="75"/>
      <c r="E596" s="75"/>
      <c r="F596" s="75"/>
      <c r="G596" s="75"/>
    </row>
    <row r="597">
      <c r="B597" s="79"/>
      <c r="D597" s="75"/>
      <c r="E597" s="75"/>
      <c r="F597" s="75"/>
      <c r="G597" s="75"/>
    </row>
    <row r="598">
      <c r="B598" s="79"/>
      <c r="D598" s="75"/>
      <c r="E598" s="75"/>
      <c r="F598" s="75"/>
      <c r="G598" s="75"/>
    </row>
    <row r="599">
      <c r="B599" s="79"/>
      <c r="D599" s="75"/>
      <c r="E599" s="75"/>
      <c r="F599" s="75"/>
      <c r="G599" s="75"/>
    </row>
    <row r="600">
      <c r="B600" s="79"/>
      <c r="D600" s="75"/>
      <c r="E600" s="75"/>
      <c r="F600" s="75"/>
      <c r="G600" s="75"/>
    </row>
    <row r="601">
      <c r="B601" s="79"/>
      <c r="D601" s="75"/>
      <c r="E601" s="75"/>
      <c r="F601" s="75"/>
      <c r="G601" s="75"/>
    </row>
    <row r="602">
      <c r="B602" s="79"/>
      <c r="D602" s="75"/>
      <c r="E602" s="75"/>
      <c r="F602" s="75"/>
      <c r="G602" s="75"/>
    </row>
    <row r="603">
      <c r="B603" s="79"/>
      <c r="D603" s="75"/>
      <c r="E603" s="75"/>
      <c r="F603" s="75"/>
      <c r="G603" s="75"/>
    </row>
    <row r="604">
      <c r="B604" s="79"/>
      <c r="D604" s="75"/>
      <c r="E604" s="75"/>
      <c r="F604" s="75"/>
      <c r="G604" s="75"/>
    </row>
    <row r="605">
      <c r="B605" s="79"/>
      <c r="D605" s="75"/>
      <c r="E605" s="75"/>
      <c r="F605" s="75"/>
      <c r="G605" s="75"/>
    </row>
    <row r="606">
      <c r="B606" s="79"/>
      <c r="D606" s="75"/>
      <c r="E606" s="75"/>
      <c r="F606" s="75"/>
      <c r="G606" s="75"/>
    </row>
    <row r="607">
      <c r="B607" s="79"/>
      <c r="D607" s="75"/>
      <c r="E607" s="75"/>
      <c r="F607" s="75"/>
      <c r="G607" s="75"/>
    </row>
    <row r="608">
      <c r="B608" s="79"/>
      <c r="D608" s="75"/>
      <c r="E608" s="75"/>
      <c r="F608" s="75"/>
      <c r="G608" s="75"/>
    </row>
    <row r="609">
      <c r="B609" s="79"/>
      <c r="D609" s="75"/>
      <c r="E609" s="75"/>
      <c r="F609" s="75"/>
      <c r="G609" s="75"/>
    </row>
    <row r="610">
      <c r="B610" s="79"/>
      <c r="D610" s="75"/>
      <c r="E610" s="75"/>
      <c r="F610" s="75"/>
      <c r="G610" s="75"/>
    </row>
    <row r="611">
      <c r="B611" s="79"/>
      <c r="D611" s="75"/>
      <c r="E611" s="75"/>
      <c r="F611" s="75"/>
      <c r="G611" s="75"/>
    </row>
    <row r="612">
      <c r="B612" s="79"/>
      <c r="D612" s="75"/>
      <c r="E612" s="75"/>
      <c r="F612" s="75"/>
      <c r="G612" s="75"/>
    </row>
    <row r="613">
      <c r="B613" s="79"/>
      <c r="D613" s="75"/>
      <c r="E613" s="75"/>
      <c r="F613" s="75"/>
      <c r="G613" s="75"/>
    </row>
    <row r="614">
      <c r="B614" s="79"/>
      <c r="D614" s="75"/>
      <c r="E614" s="75"/>
      <c r="F614" s="75"/>
      <c r="G614" s="75"/>
    </row>
    <row r="615">
      <c r="B615" s="79"/>
      <c r="D615" s="75"/>
      <c r="E615" s="75"/>
      <c r="F615" s="75"/>
      <c r="G615" s="75"/>
    </row>
    <row r="616">
      <c r="B616" s="79"/>
      <c r="D616" s="75"/>
      <c r="E616" s="75"/>
      <c r="F616" s="75"/>
      <c r="G616" s="75"/>
    </row>
    <row r="617">
      <c r="B617" s="79"/>
      <c r="D617" s="75"/>
      <c r="E617" s="75"/>
      <c r="F617" s="75"/>
      <c r="G617" s="75"/>
    </row>
    <row r="618">
      <c r="B618" s="79"/>
      <c r="D618" s="75"/>
      <c r="E618" s="75"/>
      <c r="F618" s="75"/>
      <c r="G618" s="75"/>
    </row>
    <row r="619">
      <c r="B619" s="79"/>
      <c r="D619" s="75"/>
      <c r="E619" s="75"/>
      <c r="F619" s="75"/>
      <c r="G619" s="75"/>
    </row>
    <row r="620">
      <c r="B620" s="79"/>
      <c r="D620" s="75"/>
      <c r="E620" s="75"/>
      <c r="F620" s="75"/>
      <c r="G620" s="75"/>
    </row>
    <row r="621">
      <c r="B621" s="79"/>
      <c r="D621" s="75"/>
      <c r="E621" s="75"/>
      <c r="F621" s="75"/>
      <c r="G621" s="75"/>
    </row>
    <row r="622">
      <c r="B622" s="79"/>
      <c r="D622" s="75"/>
      <c r="E622" s="75"/>
      <c r="F622" s="75"/>
      <c r="G622" s="75"/>
    </row>
    <row r="623">
      <c r="B623" s="79"/>
      <c r="D623" s="75"/>
      <c r="E623" s="75"/>
      <c r="F623" s="75"/>
      <c r="G623" s="75"/>
    </row>
    <row r="624">
      <c r="B624" s="79"/>
      <c r="D624" s="75"/>
      <c r="E624" s="75"/>
      <c r="F624" s="75"/>
      <c r="G624" s="75"/>
    </row>
    <row r="625">
      <c r="B625" s="79"/>
      <c r="D625" s="75"/>
      <c r="E625" s="75"/>
      <c r="F625" s="75"/>
      <c r="G625" s="75"/>
    </row>
    <row r="626">
      <c r="B626" s="79"/>
      <c r="D626" s="75"/>
      <c r="E626" s="75"/>
      <c r="F626" s="75"/>
      <c r="G626" s="75"/>
    </row>
    <row r="627">
      <c r="B627" s="79"/>
      <c r="D627" s="75"/>
      <c r="E627" s="75"/>
      <c r="F627" s="75"/>
      <c r="G627" s="75"/>
    </row>
    <row r="628">
      <c r="B628" s="79"/>
      <c r="D628" s="75"/>
      <c r="E628" s="75"/>
      <c r="F628" s="75"/>
      <c r="G628" s="75"/>
    </row>
    <row r="629">
      <c r="B629" s="79"/>
      <c r="D629" s="75"/>
      <c r="E629" s="75"/>
      <c r="F629" s="75"/>
      <c r="G629" s="75"/>
    </row>
    <row r="630">
      <c r="B630" s="79"/>
      <c r="D630" s="75"/>
      <c r="E630" s="75"/>
      <c r="F630" s="75"/>
      <c r="G630" s="75"/>
    </row>
    <row r="631">
      <c r="B631" s="79"/>
      <c r="D631" s="75"/>
      <c r="E631" s="75"/>
      <c r="F631" s="75"/>
      <c r="G631" s="75"/>
    </row>
    <row r="632">
      <c r="B632" s="79"/>
      <c r="D632" s="75"/>
      <c r="E632" s="75"/>
      <c r="F632" s="75"/>
      <c r="G632" s="75"/>
    </row>
    <row r="633">
      <c r="B633" s="79"/>
      <c r="D633" s="75"/>
      <c r="E633" s="75"/>
      <c r="F633" s="75"/>
      <c r="G633" s="75"/>
    </row>
    <row r="634">
      <c r="B634" s="79"/>
      <c r="D634" s="75"/>
      <c r="E634" s="75"/>
      <c r="F634" s="75"/>
      <c r="G634" s="75"/>
    </row>
    <row r="635">
      <c r="B635" s="79"/>
      <c r="D635" s="75"/>
      <c r="E635" s="75"/>
      <c r="F635" s="75"/>
      <c r="G635" s="75"/>
    </row>
    <row r="636">
      <c r="B636" s="79"/>
      <c r="D636" s="75"/>
      <c r="E636" s="75"/>
      <c r="F636" s="75"/>
      <c r="G636" s="75"/>
    </row>
    <row r="637">
      <c r="B637" s="79"/>
      <c r="D637" s="75"/>
      <c r="E637" s="75"/>
      <c r="F637" s="75"/>
      <c r="G637" s="75"/>
    </row>
    <row r="638">
      <c r="B638" s="79"/>
      <c r="D638" s="75"/>
      <c r="E638" s="75"/>
      <c r="F638" s="75"/>
      <c r="G638" s="75"/>
    </row>
    <row r="639">
      <c r="B639" s="79"/>
      <c r="D639" s="75"/>
      <c r="E639" s="75"/>
      <c r="F639" s="75"/>
      <c r="G639" s="75"/>
    </row>
    <row r="640">
      <c r="B640" s="79"/>
      <c r="D640" s="75"/>
      <c r="E640" s="75"/>
      <c r="F640" s="75"/>
      <c r="G640" s="75"/>
    </row>
    <row r="641">
      <c r="B641" s="79"/>
      <c r="D641" s="75"/>
      <c r="E641" s="75"/>
      <c r="F641" s="75"/>
      <c r="G641" s="75"/>
    </row>
    <row r="642">
      <c r="B642" s="79"/>
      <c r="D642" s="75"/>
      <c r="E642" s="75"/>
      <c r="F642" s="75"/>
      <c r="G642" s="75"/>
    </row>
    <row r="643">
      <c r="B643" s="79"/>
      <c r="D643" s="75"/>
      <c r="E643" s="75"/>
      <c r="F643" s="75"/>
      <c r="G643" s="75"/>
    </row>
    <row r="644">
      <c r="B644" s="79"/>
      <c r="D644" s="75"/>
      <c r="E644" s="75"/>
      <c r="F644" s="75"/>
      <c r="G644" s="75"/>
    </row>
    <row r="645">
      <c r="B645" s="79"/>
      <c r="D645" s="75"/>
      <c r="E645" s="75"/>
      <c r="F645" s="75"/>
      <c r="G645" s="75"/>
    </row>
    <row r="646">
      <c r="B646" s="79"/>
      <c r="D646" s="75"/>
      <c r="E646" s="75"/>
      <c r="F646" s="75"/>
      <c r="G646" s="75"/>
    </row>
    <row r="647">
      <c r="B647" s="79"/>
      <c r="D647" s="75"/>
      <c r="E647" s="75"/>
      <c r="F647" s="75"/>
      <c r="G647" s="75"/>
    </row>
    <row r="648">
      <c r="B648" s="79"/>
      <c r="D648" s="75"/>
      <c r="E648" s="75"/>
      <c r="F648" s="75"/>
      <c r="G648" s="75"/>
    </row>
    <row r="649">
      <c r="B649" s="79"/>
      <c r="D649" s="75"/>
      <c r="E649" s="75"/>
      <c r="F649" s="75"/>
      <c r="G649" s="75"/>
    </row>
    <row r="650">
      <c r="B650" s="79"/>
      <c r="D650" s="75"/>
      <c r="E650" s="75"/>
      <c r="F650" s="75"/>
      <c r="G650" s="75"/>
    </row>
    <row r="651">
      <c r="B651" s="79"/>
      <c r="D651" s="75"/>
      <c r="E651" s="75"/>
      <c r="F651" s="75"/>
      <c r="G651" s="75"/>
    </row>
    <row r="652">
      <c r="B652" s="79"/>
      <c r="D652" s="75"/>
      <c r="E652" s="75"/>
      <c r="F652" s="75"/>
      <c r="G652" s="75"/>
    </row>
    <row r="653">
      <c r="B653" s="79"/>
      <c r="D653" s="75"/>
      <c r="E653" s="75"/>
      <c r="F653" s="75"/>
      <c r="G653" s="75"/>
    </row>
    <row r="654">
      <c r="B654" s="79"/>
      <c r="D654" s="75"/>
      <c r="E654" s="75"/>
      <c r="F654" s="75"/>
      <c r="G654" s="75"/>
    </row>
    <row r="655">
      <c r="B655" s="79"/>
      <c r="D655" s="75"/>
      <c r="E655" s="75"/>
      <c r="F655" s="75"/>
      <c r="G655" s="75"/>
    </row>
    <row r="656">
      <c r="B656" s="79"/>
      <c r="D656" s="75"/>
      <c r="E656" s="75"/>
      <c r="F656" s="75"/>
      <c r="G656" s="75"/>
    </row>
    <row r="657">
      <c r="B657" s="79"/>
      <c r="D657" s="75"/>
      <c r="E657" s="75"/>
      <c r="F657" s="75"/>
      <c r="G657" s="75"/>
    </row>
    <row r="658">
      <c r="B658" s="79"/>
      <c r="D658" s="75"/>
      <c r="E658" s="75"/>
      <c r="F658" s="75"/>
      <c r="G658" s="75"/>
    </row>
    <row r="659">
      <c r="B659" s="79"/>
      <c r="D659" s="75"/>
      <c r="E659" s="75"/>
      <c r="F659" s="75"/>
      <c r="G659" s="75"/>
    </row>
    <row r="660">
      <c r="B660" s="79"/>
      <c r="D660" s="75"/>
      <c r="E660" s="75"/>
      <c r="F660" s="75"/>
      <c r="G660" s="75"/>
    </row>
    <row r="661">
      <c r="B661" s="79"/>
      <c r="D661" s="75"/>
      <c r="E661" s="75"/>
      <c r="F661" s="75"/>
      <c r="G661" s="75"/>
    </row>
    <row r="662">
      <c r="B662" s="79"/>
      <c r="D662" s="75"/>
      <c r="E662" s="75"/>
      <c r="F662" s="75"/>
      <c r="G662" s="75"/>
    </row>
    <row r="663">
      <c r="B663" s="79"/>
      <c r="D663" s="75"/>
      <c r="E663" s="75"/>
      <c r="F663" s="75"/>
      <c r="G663" s="75"/>
    </row>
    <row r="664">
      <c r="B664" s="79"/>
      <c r="D664" s="75"/>
      <c r="E664" s="75"/>
      <c r="F664" s="75"/>
      <c r="G664" s="75"/>
    </row>
    <row r="665">
      <c r="B665" s="79"/>
      <c r="D665" s="75"/>
      <c r="E665" s="75"/>
      <c r="F665" s="75"/>
      <c r="G665" s="75"/>
    </row>
    <row r="666">
      <c r="B666" s="79"/>
      <c r="D666" s="75"/>
      <c r="E666" s="75"/>
      <c r="F666" s="75"/>
      <c r="G666" s="75"/>
    </row>
    <row r="667">
      <c r="B667" s="79"/>
      <c r="D667" s="75"/>
      <c r="E667" s="75"/>
      <c r="F667" s="75"/>
      <c r="G667" s="75"/>
    </row>
    <row r="668">
      <c r="B668" s="79"/>
      <c r="D668" s="75"/>
      <c r="E668" s="75"/>
      <c r="F668" s="75"/>
      <c r="G668" s="75"/>
    </row>
    <row r="669">
      <c r="B669" s="79"/>
      <c r="D669" s="75"/>
      <c r="E669" s="75"/>
      <c r="F669" s="75"/>
      <c r="G669" s="75"/>
    </row>
    <row r="670">
      <c r="B670" s="79"/>
      <c r="D670" s="75"/>
      <c r="E670" s="75"/>
      <c r="F670" s="75"/>
      <c r="G670" s="75"/>
    </row>
    <row r="671">
      <c r="B671" s="79"/>
      <c r="D671" s="75"/>
      <c r="E671" s="75"/>
      <c r="F671" s="75"/>
      <c r="G671" s="75"/>
    </row>
    <row r="672">
      <c r="B672" s="79"/>
      <c r="D672" s="75"/>
      <c r="E672" s="75"/>
      <c r="F672" s="75"/>
      <c r="G672" s="75"/>
    </row>
    <row r="673">
      <c r="B673" s="79"/>
      <c r="D673" s="75"/>
      <c r="E673" s="75"/>
      <c r="F673" s="75"/>
      <c r="G673" s="75"/>
    </row>
    <row r="674">
      <c r="B674" s="79"/>
      <c r="D674" s="75"/>
      <c r="E674" s="75"/>
      <c r="F674" s="75"/>
      <c r="G674" s="75"/>
    </row>
    <row r="675">
      <c r="B675" s="79"/>
      <c r="D675" s="75"/>
      <c r="E675" s="75"/>
      <c r="F675" s="75"/>
      <c r="G675" s="75"/>
    </row>
    <row r="676">
      <c r="B676" s="79"/>
      <c r="D676" s="75"/>
      <c r="E676" s="75"/>
      <c r="F676" s="75"/>
      <c r="G676" s="75"/>
    </row>
    <row r="677">
      <c r="B677" s="79"/>
      <c r="D677" s="75"/>
      <c r="E677" s="75"/>
      <c r="F677" s="75"/>
      <c r="G677" s="75"/>
    </row>
    <row r="678">
      <c r="B678" s="79"/>
      <c r="D678" s="75"/>
      <c r="E678" s="75"/>
      <c r="F678" s="75"/>
      <c r="G678" s="75"/>
    </row>
    <row r="679">
      <c r="B679" s="79"/>
      <c r="D679" s="75"/>
      <c r="E679" s="75"/>
      <c r="F679" s="75"/>
      <c r="G679" s="75"/>
    </row>
    <row r="680">
      <c r="B680" s="79"/>
      <c r="D680" s="75"/>
      <c r="E680" s="75"/>
      <c r="F680" s="75"/>
      <c r="G680" s="75"/>
    </row>
    <row r="681">
      <c r="B681" s="79"/>
      <c r="D681" s="75"/>
      <c r="E681" s="75"/>
      <c r="F681" s="75"/>
      <c r="G681" s="75"/>
    </row>
    <row r="682">
      <c r="B682" s="79"/>
      <c r="D682" s="75"/>
      <c r="E682" s="75"/>
      <c r="F682" s="75"/>
      <c r="G682" s="75"/>
    </row>
    <row r="683">
      <c r="B683" s="79"/>
      <c r="D683" s="75"/>
      <c r="E683" s="75"/>
      <c r="F683" s="75"/>
      <c r="G683" s="75"/>
    </row>
    <row r="684">
      <c r="B684" s="79"/>
      <c r="D684" s="75"/>
      <c r="E684" s="75"/>
      <c r="F684" s="75"/>
      <c r="G684" s="75"/>
    </row>
    <row r="685">
      <c r="B685" s="79"/>
      <c r="D685" s="75"/>
      <c r="E685" s="75"/>
      <c r="F685" s="75"/>
      <c r="G685" s="75"/>
    </row>
    <row r="686">
      <c r="B686" s="79"/>
      <c r="D686" s="75"/>
      <c r="E686" s="75"/>
      <c r="F686" s="75"/>
      <c r="G686" s="75"/>
    </row>
    <row r="687">
      <c r="B687" s="79"/>
      <c r="D687" s="75"/>
      <c r="E687" s="75"/>
      <c r="F687" s="75"/>
      <c r="G687" s="75"/>
    </row>
    <row r="688">
      <c r="B688" s="79"/>
      <c r="D688" s="75"/>
      <c r="E688" s="75"/>
      <c r="F688" s="75"/>
      <c r="G688" s="75"/>
    </row>
    <row r="689">
      <c r="B689" s="79"/>
      <c r="D689" s="75"/>
      <c r="E689" s="75"/>
      <c r="F689" s="75"/>
      <c r="G689" s="75"/>
    </row>
    <row r="690">
      <c r="B690" s="79"/>
      <c r="D690" s="75"/>
      <c r="E690" s="75"/>
      <c r="F690" s="75"/>
      <c r="G690" s="75"/>
    </row>
    <row r="691">
      <c r="B691" s="79"/>
      <c r="D691" s="75"/>
      <c r="E691" s="75"/>
      <c r="F691" s="75"/>
      <c r="G691" s="75"/>
    </row>
    <row r="692">
      <c r="B692" s="79"/>
      <c r="D692" s="75"/>
      <c r="E692" s="75"/>
      <c r="F692" s="75"/>
      <c r="G692" s="75"/>
    </row>
    <row r="693">
      <c r="B693" s="79"/>
      <c r="D693" s="75"/>
      <c r="E693" s="75"/>
      <c r="F693" s="75"/>
      <c r="G693" s="75"/>
    </row>
    <row r="694">
      <c r="B694" s="79"/>
      <c r="D694" s="75"/>
      <c r="E694" s="75"/>
      <c r="F694" s="75"/>
      <c r="G694" s="75"/>
    </row>
    <row r="695">
      <c r="B695" s="79"/>
      <c r="D695" s="75"/>
      <c r="E695" s="75"/>
      <c r="F695" s="75"/>
      <c r="G695" s="75"/>
    </row>
    <row r="696">
      <c r="B696" s="79"/>
      <c r="D696" s="75"/>
      <c r="E696" s="75"/>
      <c r="F696" s="75"/>
      <c r="G696" s="75"/>
    </row>
    <row r="697">
      <c r="B697" s="79"/>
      <c r="D697" s="75"/>
      <c r="E697" s="75"/>
      <c r="F697" s="75"/>
      <c r="G697" s="75"/>
    </row>
    <row r="698">
      <c r="B698" s="79"/>
      <c r="D698" s="75"/>
      <c r="E698" s="75"/>
      <c r="F698" s="75"/>
      <c r="G698" s="75"/>
    </row>
    <row r="699">
      <c r="B699" s="79"/>
      <c r="D699" s="75"/>
      <c r="E699" s="75"/>
      <c r="F699" s="75"/>
      <c r="G699" s="75"/>
    </row>
    <row r="700">
      <c r="B700" s="79"/>
      <c r="D700" s="75"/>
      <c r="E700" s="75"/>
      <c r="F700" s="75"/>
      <c r="G700" s="75"/>
    </row>
    <row r="701">
      <c r="B701" s="79"/>
      <c r="D701" s="75"/>
      <c r="E701" s="75"/>
      <c r="F701" s="75"/>
      <c r="G701" s="75"/>
    </row>
    <row r="702">
      <c r="B702" s="79"/>
      <c r="D702" s="75"/>
      <c r="E702" s="75"/>
      <c r="F702" s="75"/>
      <c r="G702" s="75"/>
    </row>
    <row r="703">
      <c r="B703" s="79"/>
      <c r="D703" s="75"/>
      <c r="E703" s="75"/>
      <c r="F703" s="75"/>
      <c r="G703" s="75"/>
    </row>
    <row r="704">
      <c r="B704" s="79"/>
      <c r="D704" s="75"/>
      <c r="E704" s="75"/>
      <c r="F704" s="75"/>
      <c r="G704" s="75"/>
    </row>
    <row r="705">
      <c r="B705" s="79"/>
      <c r="D705" s="75"/>
      <c r="E705" s="75"/>
      <c r="F705" s="75"/>
      <c r="G705" s="75"/>
    </row>
    <row r="706">
      <c r="B706" s="79"/>
      <c r="D706" s="75"/>
      <c r="E706" s="75"/>
      <c r="F706" s="75"/>
      <c r="G706" s="75"/>
    </row>
    <row r="707">
      <c r="B707" s="79"/>
      <c r="D707" s="75"/>
      <c r="E707" s="75"/>
      <c r="F707" s="75"/>
      <c r="G707" s="75"/>
    </row>
    <row r="708">
      <c r="B708" s="79"/>
      <c r="D708" s="75"/>
      <c r="E708" s="75"/>
      <c r="F708" s="75"/>
      <c r="G708" s="75"/>
    </row>
    <row r="709">
      <c r="B709" s="79"/>
      <c r="D709" s="75"/>
      <c r="E709" s="75"/>
      <c r="F709" s="75"/>
      <c r="G709" s="75"/>
    </row>
    <row r="710">
      <c r="B710" s="79"/>
      <c r="D710" s="75"/>
      <c r="E710" s="75"/>
      <c r="F710" s="75"/>
      <c r="G710" s="75"/>
    </row>
    <row r="711">
      <c r="B711" s="79"/>
      <c r="D711" s="75"/>
      <c r="E711" s="75"/>
      <c r="F711" s="75"/>
      <c r="G711" s="75"/>
    </row>
    <row r="712">
      <c r="B712" s="79"/>
      <c r="D712" s="75"/>
      <c r="E712" s="75"/>
      <c r="F712" s="75"/>
      <c r="G712" s="75"/>
    </row>
    <row r="713">
      <c r="B713" s="79"/>
      <c r="D713" s="75"/>
      <c r="E713" s="75"/>
      <c r="F713" s="75"/>
      <c r="G713" s="75"/>
    </row>
    <row r="714">
      <c r="B714" s="79"/>
      <c r="D714" s="75"/>
      <c r="E714" s="75"/>
      <c r="F714" s="75"/>
      <c r="G714" s="75"/>
    </row>
    <row r="715">
      <c r="B715" s="79"/>
      <c r="D715" s="75"/>
      <c r="E715" s="75"/>
      <c r="F715" s="75"/>
      <c r="G715" s="75"/>
    </row>
    <row r="716">
      <c r="B716" s="79"/>
      <c r="D716" s="75"/>
      <c r="E716" s="75"/>
      <c r="F716" s="75"/>
      <c r="G716" s="75"/>
    </row>
    <row r="717">
      <c r="B717" s="79"/>
      <c r="D717" s="75"/>
      <c r="E717" s="75"/>
      <c r="F717" s="75"/>
      <c r="G717" s="75"/>
    </row>
    <row r="718">
      <c r="B718" s="79"/>
      <c r="D718" s="75"/>
      <c r="E718" s="75"/>
      <c r="F718" s="75"/>
      <c r="G718" s="75"/>
    </row>
    <row r="719">
      <c r="B719" s="79"/>
      <c r="D719" s="75"/>
      <c r="E719" s="75"/>
      <c r="F719" s="75"/>
      <c r="G719" s="75"/>
    </row>
    <row r="720">
      <c r="B720" s="79"/>
      <c r="D720" s="75"/>
      <c r="E720" s="75"/>
      <c r="F720" s="75"/>
      <c r="G720" s="75"/>
    </row>
    <row r="721">
      <c r="B721" s="79"/>
      <c r="D721" s="75"/>
      <c r="E721" s="75"/>
      <c r="F721" s="75"/>
      <c r="G721" s="75"/>
    </row>
    <row r="722">
      <c r="B722" s="79"/>
      <c r="D722" s="75"/>
      <c r="E722" s="75"/>
      <c r="F722" s="75"/>
      <c r="G722" s="75"/>
    </row>
    <row r="723">
      <c r="B723" s="79"/>
      <c r="D723" s="75"/>
      <c r="E723" s="75"/>
      <c r="F723" s="75"/>
      <c r="G723" s="75"/>
    </row>
    <row r="724">
      <c r="B724" s="79"/>
      <c r="D724" s="75"/>
      <c r="E724" s="75"/>
      <c r="F724" s="75"/>
      <c r="G724" s="75"/>
    </row>
    <row r="725">
      <c r="B725" s="79"/>
      <c r="D725" s="75"/>
      <c r="E725" s="75"/>
      <c r="F725" s="75"/>
      <c r="G725" s="75"/>
    </row>
    <row r="726">
      <c r="B726" s="79"/>
      <c r="D726" s="75"/>
      <c r="E726" s="75"/>
      <c r="F726" s="75"/>
      <c r="G726" s="75"/>
    </row>
    <row r="727">
      <c r="B727" s="79"/>
      <c r="D727" s="75"/>
      <c r="E727" s="75"/>
      <c r="F727" s="75"/>
      <c r="G727" s="75"/>
    </row>
    <row r="728">
      <c r="B728" s="79"/>
      <c r="D728" s="75"/>
      <c r="E728" s="75"/>
      <c r="F728" s="75"/>
      <c r="G728" s="75"/>
    </row>
    <row r="729">
      <c r="B729" s="79"/>
      <c r="D729" s="75"/>
      <c r="E729" s="75"/>
      <c r="F729" s="75"/>
      <c r="G729" s="75"/>
    </row>
    <row r="730">
      <c r="B730" s="79"/>
      <c r="D730" s="75"/>
      <c r="E730" s="75"/>
      <c r="F730" s="75"/>
      <c r="G730" s="75"/>
    </row>
    <row r="731">
      <c r="B731" s="79"/>
      <c r="D731" s="75"/>
      <c r="E731" s="75"/>
      <c r="F731" s="75"/>
      <c r="G731" s="75"/>
    </row>
    <row r="732">
      <c r="B732" s="79"/>
      <c r="D732" s="75"/>
      <c r="E732" s="75"/>
      <c r="F732" s="75"/>
      <c r="G732" s="75"/>
    </row>
    <row r="733">
      <c r="B733" s="79"/>
      <c r="D733" s="75"/>
      <c r="E733" s="75"/>
      <c r="F733" s="75"/>
      <c r="G733" s="75"/>
    </row>
    <row r="734">
      <c r="B734" s="79"/>
      <c r="D734" s="75"/>
      <c r="E734" s="75"/>
      <c r="F734" s="75"/>
      <c r="G734" s="75"/>
    </row>
    <row r="735">
      <c r="B735" s="79"/>
      <c r="D735" s="75"/>
      <c r="E735" s="75"/>
      <c r="F735" s="75"/>
      <c r="G735" s="75"/>
    </row>
    <row r="736">
      <c r="B736" s="79"/>
      <c r="D736" s="75"/>
      <c r="E736" s="75"/>
      <c r="F736" s="75"/>
      <c r="G736" s="75"/>
    </row>
    <row r="737">
      <c r="B737" s="79"/>
      <c r="D737" s="75"/>
      <c r="E737" s="75"/>
      <c r="F737" s="75"/>
      <c r="G737" s="75"/>
    </row>
    <row r="738">
      <c r="B738" s="79"/>
      <c r="D738" s="75"/>
      <c r="E738" s="75"/>
      <c r="F738" s="75"/>
      <c r="G738" s="75"/>
    </row>
    <row r="739">
      <c r="B739" s="79"/>
      <c r="D739" s="75"/>
      <c r="E739" s="75"/>
      <c r="F739" s="75"/>
      <c r="G739" s="75"/>
    </row>
    <row r="740">
      <c r="B740" s="79"/>
      <c r="D740" s="75"/>
      <c r="E740" s="75"/>
      <c r="F740" s="75"/>
      <c r="G740" s="75"/>
    </row>
    <row r="741">
      <c r="B741" s="79"/>
      <c r="D741" s="75"/>
      <c r="E741" s="75"/>
      <c r="F741" s="75"/>
      <c r="G741" s="75"/>
    </row>
    <row r="742">
      <c r="B742" s="79"/>
      <c r="D742" s="75"/>
      <c r="E742" s="75"/>
      <c r="F742" s="75"/>
      <c r="G742" s="75"/>
    </row>
    <row r="743">
      <c r="B743" s="79"/>
      <c r="D743" s="75"/>
      <c r="E743" s="75"/>
      <c r="F743" s="75"/>
      <c r="G743" s="75"/>
    </row>
    <row r="744">
      <c r="B744" s="79"/>
      <c r="D744" s="75"/>
      <c r="E744" s="75"/>
      <c r="F744" s="75"/>
      <c r="G744" s="75"/>
    </row>
    <row r="745">
      <c r="B745" s="79"/>
      <c r="D745" s="75"/>
      <c r="E745" s="75"/>
      <c r="F745" s="75"/>
      <c r="G745" s="75"/>
    </row>
    <row r="746">
      <c r="B746" s="79"/>
      <c r="D746" s="75"/>
      <c r="E746" s="75"/>
      <c r="F746" s="75"/>
      <c r="G746" s="75"/>
    </row>
    <row r="747">
      <c r="B747" s="79"/>
      <c r="D747" s="75"/>
      <c r="E747" s="75"/>
      <c r="F747" s="75"/>
      <c r="G747" s="75"/>
    </row>
    <row r="748">
      <c r="B748" s="79"/>
      <c r="D748" s="75"/>
      <c r="E748" s="75"/>
      <c r="F748" s="75"/>
      <c r="G748" s="75"/>
    </row>
    <row r="749">
      <c r="B749" s="79"/>
      <c r="D749" s="75"/>
      <c r="E749" s="75"/>
      <c r="F749" s="75"/>
      <c r="G749" s="75"/>
    </row>
    <row r="750">
      <c r="B750" s="79"/>
      <c r="D750" s="75"/>
      <c r="E750" s="75"/>
      <c r="F750" s="75"/>
      <c r="G750" s="75"/>
    </row>
    <row r="751">
      <c r="B751" s="79"/>
      <c r="D751" s="75"/>
      <c r="E751" s="75"/>
      <c r="F751" s="75"/>
      <c r="G751" s="75"/>
    </row>
    <row r="752">
      <c r="B752" s="79"/>
      <c r="D752" s="75"/>
      <c r="E752" s="75"/>
      <c r="F752" s="75"/>
      <c r="G752" s="75"/>
    </row>
    <row r="753">
      <c r="B753" s="79"/>
      <c r="D753" s="75"/>
      <c r="E753" s="75"/>
      <c r="F753" s="75"/>
      <c r="G753" s="75"/>
    </row>
    <row r="754">
      <c r="B754" s="79"/>
      <c r="D754" s="75"/>
      <c r="E754" s="75"/>
      <c r="F754" s="75"/>
      <c r="G754" s="75"/>
    </row>
    <row r="755">
      <c r="B755" s="79"/>
      <c r="D755" s="75"/>
      <c r="E755" s="75"/>
      <c r="F755" s="75"/>
      <c r="G755" s="75"/>
    </row>
    <row r="756">
      <c r="B756" s="79"/>
      <c r="D756" s="75"/>
      <c r="E756" s="75"/>
      <c r="F756" s="75"/>
      <c r="G756" s="75"/>
    </row>
    <row r="757">
      <c r="B757" s="79"/>
      <c r="D757" s="75"/>
      <c r="E757" s="75"/>
      <c r="F757" s="75"/>
      <c r="G757" s="75"/>
    </row>
    <row r="758">
      <c r="B758" s="79"/>
      <c r="D758" s="75"/>
      <c r="E758" s="75"/>
      <c r="F758" s="75"/>
      <c r="G758" s="75"/>
    </row>
    <row r="759">
      <c r="B759" s="79"/>
      <c r="D759" s="75"/>
      <c r="E759" s="75"/>
      <c r="F759" s="75"/>
      <c r="G759" s="75"/>
    </row>
    <row r="760">
      <c r="B760" s="79"/>
      <c r="D760" s="75"/>
      <c r="E760" s="75"/>
      <c r="F760" s="75"/>
      <c r="G760" s="75"/>
    </row>
    <row r="761">
      <c r="B761" s="79"/>
      <c r="D761" s="75"/>
      <c r="E761" s="75"/>
      <c r="F761" s="75"/>
      <c r="G761" s="75"/>
    </row>
    <row r="762">
      <c r="B762" s="79"/>
      <c r="D762" s="75"/>
      <c r="E762" s="75"/>
      <c r="F762" s="75"/>
      <c r="G762" s="75"/>
    </row>
    <row r="763">
      <c r="B763" s="79"/>
      <c r="D763" s="75"/>
      <c r="E763" s="75"/>
      <c r="F763" s="75"/>
      <c r="G763" s="75"/>
    </row>
    <row r="764">
      <c r="B764" s="79"/>
      <c r="D764" s="75"/>
      <c r="E764" s="75"/>
      <c r="F764" s="75"/>
      <c r="G764" s="75"/>
    </row>
    <row r="765">
      <c r="B765" s="79"/>
      <c r="D765" s="75"/>
      <c r="E765" s="75"/>
      <c r="F765" s="75"/>
      <c r="G765" s="75"/>
    </row>
    <row r="766">
      <c r="B766" s="79"/>
      <c r="D766" s="75"/>
      <c r="E766" s="75"/>
      <c r="F766" s="75"/>
      <c r="G766" s="75"/>
    </row>
    <row r="767">
      <c r="B767" s="79"/>
      <c r="D767" s="75"/>
      <c r="E767" s="75"/>
      <c r="F767" s="75"/>
      <c r="G767" s="75"/>
    </row>
    <row r="768">
      <c r="B768" s="79"/>
      <c r="D768" s="75"/>
      <c r="E768" s="75"/>
      <c r="F768" s="75"/>
      <c r="G768" s="75"/>
    </row>
    <row r="769">
      <c r="B769" s="79"/>
      <c r="D769" s="75"/>
      <c r="E769" s="75"/>
      <c r="F769" s="75"/>
      <c r="G769" s="75"/>
    </row>
    <row r="770">
      <c r="B770" s="79"/>
      <c r="D770" s="75"/>
      <c r="E770" s="75"/>
      <c r="F770" s="75"/>
      <c r="G770" s="75"/>
    </row>
    <row r="771">
      <c r="B771" s="79"/>
      <c r="D771" s="75"/>
      <c r="E771" s="75"/>
      <c r="F771" s="75"/>
      <c r="G771" s="75"/>
    </row>
    <row r="772">
      <c r="B772" s="79"/>
      <c r="D772" s="75"/>
      <c r="E772" s="75"/>
      <c r="F772" s="75"/>
      <c r="G772" s="75"/>
    </row>
    <row r="773">
      <c r="B773" s="79"/>
      <c r="D773" s="75"/>
      <c r="E773" s="75"/>
      <c r="F773" s="75"/>
      <c r="G773" s="75"/>
    </row>
    <row r="774">
      <c r="B774" s="79"/>
      <c r="D774" s="75"/>
      <c r="E774" s="75"/>
      <c r="F774" s="75"/>
      <c r="G774" s="75"/>
    </row>
    <row r="775">
      <c r="B775" s="79"/>
      <c r="D775" s="75"/>
      <c r="E775" s="75"/>
      <c r="F775" s="75"/>
      <c r="G775" s="75"/>
    </row>
    <row r="776">
      <c r="B776" s="79"/>
      <c r="D776" s="75"/>
      <c r="E776" s="75"/>
      <c r="F776" s="75"/>
      <c r="G776" s="75"/>
    </row>
    <row r="777">
      <c r="B777" s="79"/>
      <c r="D777" s="75"/>
      <c r="E777" s="75"/>
      <c r="F777" s="75"/>
      <c r="G777" s="75"/>
    </row>
    <row r="778">
      <c r="B778" s="79"/>
      <c r="D778" s="75"/>
      <c r="E778" s="75"/>
      <c r="F778" s="75"/>
      <c r="G778" s="75"/>
    </row>
    <row r="779">
      <c r="B779" s="79"/>
      <c r="D779" s="75"/>
      <c r="E779" s="75"/>
      <c r="F779" s="75"/>
      <c r="G779" s="75"/>
    </row>
    <row r="780">
      <c r="B780" s="79"/>
      <c r="D780" s="75"/>
      <c r="E780" s="75"/>
      <c r="F780" s="75"/>
      <c r="G780" s="75"/>
    </row>
    <row r="781">
      <c r="B781" s="79"/>
      <c r="D781" s="75"/>
      <c r="E781" s="75"/>
      <c r="F781" s="75"/>
      <c r="G781" s="75"/>
    </row>
    <row r="782">
      <c r="B782" s="79"/>
      <c r="D782" s="75"/>
      <c r="E782" s="75"/>
      <c r="F782" s="75"/>
      <c r="G782" s="75"/>
    </row>
    <row r="783">
      <c r="B783" s="79"/>
      <c r="D783" s="75"/>
      <c r="E783" s="75"/>
      <c r="F783" s="75"/>
      <c r="G783" s="75"/>
    </row>
    <row r="784">
      <c r="B784" s="79"/>
      <c r="D784" s="75"/>
      <c r="E784" s="75"/>
      <c r="F784" s="75"/>
      <c r="G784" s="75"/>
    </row>
    <row r="785">
      <c r="B785" s="79"/>
      <c r="D785" s="75"/>
      <c r="E785" s="75"/>
      <c r="F785" s="75"/>
      <c r="G785" s="75"/>
    </row>
    <row r="786">
      <c r="B786" s="79"/>
      <c r="D786" s="75"/>
      <c r="E786" s="75"/>
      <c r="F786" s="75"/>
      <c r="G786" s="75"/>
    </row>
    <row r="787">
      <c r="B787" s="79"/>
      <c r="D787" s="75"/>
      <c r="E787" s="75"/>
      <c r="F787" s="75"/>
      <c r="G787" s="75"/>
    </row>
    <row r="788">
      <c r="B788" s="79"/>
      <c r="D788" s="75"/>
      <c r="E788" s="75"/>
      <c r="F788" s="75"/>
      <c r="G788" s="75"/>
    </row>
    <row r="789">
      <c r="B789" s="79"/>
      <c r="D789" s="75"/>
      <c r="E789" s="75"/>
      <c r="F789" s="75"/>
      <c r="G789" s="75"/>
    </row>
    <row r="790">
      <c r="B790" s="79"/>
      <c r="D790" s="75"/>
      <c r="E790" s="75"/>
      <c r="F790" s="75"/>
      <c r="G790" s="75"/>
    </row>
    <row r="791">
      <c r="B791" s="79"/>
      <c r="D791" s="75"/>
      <c r="E791" s="75"/>
      <c r="F791" s="75"/>
      <c r="G791" s="75"/>
    </row>
    <row r="792">
      <c r="B792" s="79"/>
      <c r="D792" s="75"/>
      <c r="E792" s="75"/>
      <c r="F792" s="75"/>
      <c r="G792" s="75"/>
    </row>
    <row r="793">
      <c r="B793" s="79"/>
      <c r="D793" s="75"/>
      <c r="E793" s="75"/>
      <c r="F793" s="75"/>
      <c r="G793" s="75"/>
    </row>
    <row r="794">
      <c r="B794" s="79"/>
      <c r="D794" s="75"/>
      <c r="E794" s="75"/>
      <c r="F794" s="75"/>
      <c r="G794" s="75"/>
    </row>
    <row r="795">
      <c r="B795" s="79"/>
      <c r="D795" s="75"/>
      <c r="E795" s="75"/>
      <c r="F795" s="75"/>
      <c r="G795" s="75"/>
    </row>
    <row r="796">
      <c r="B796" s="79"/>
      <c r="D796" s="75"/>
      <c r="E796" s="75"/>
      <c r="F796" s="75"/>
      <c r="G796" s="75"/>
    </row>
    <row r="797">
      <c r="B797" s="79"/>
      <c r="D797" s="75"/>
      <c r="E797" s="75"/>
      <c r="F797" s="75"/>
      <c r="G797" s="75"/>
    </row>
    <row r="798">
      <c r="B798" s="79"/>
      <c r="D798" s="75"/>
      <c r="E798" s="75"/>
      <c r="F798" s="75"/>
      <c r="G798" s="75"/>
    </row>
    <row r="799">
      <c r="B799" s="79"/>
      <c r="D799" s="75"/>
      <c r="E799" s="75"/>
      <c r="F799" s="75"/>
      <c r="G799" s="75"/>
    </row>
    <row r="800">
      <c r="B800" s="79"/>
      <c r="D800" s="75"/>
      <c r="E800" s="75"/>
      <c r="F800" s="75"/>
      <c r="G800" s="75"/>
    </row>
    <row r="801">
      <c r="B801" s="79"/>
      <c r="D801" s="75"/>
      <c r="E801" s="75"/>
      <c r="F801" s="75"/>
      <c r="G801" s="75"/>
    </row>
    <row r="802">
      <c r="B802" s="79"/>
      <c r="D802" s="75"/>
      <c r="E802" s="75"/>
      <c r="F802" s="75"/>
      <c r="G802" s="75"/>
    </row>
    <row r="803">
      <c r="B803" s="79"/>
      <c r="D803" s="75"/>
      <c r="E803" s="75"/>
      <c r="F803" s="75"/>
      <c r="G803" s="75"/>
    </row>
    <row r="804">
      <c r="B804" s="79"/>
      <c r="D804" s="75"/>
      <c r="E804" s="75"/>
      <c r="F804" s="75"/>
      <c r="G804" s="75"/>
    </row>
    <row r="805">
      <c r="B805" s="79"/>
      <c r="D805" s="75"/>
      <c r="E805" s="75"/>
      <c r="F805" s="75"/>
      <c r="G805" s="75"/>
    </row>
    <row r="806">
      <c r="B806" s="79"/>
      <c r="D806" s="75"/>
      <c r="E806" s="75"/>
      <c r="F806" s="75"/>
      <c r="G806" s="75"/>
    </row>
    <row r="807">
      <c r="B807" s="79"/>
      <c r="D807" s="75"/>
      <c r="E807" s="75"/>
      <c r="F807" s="75"/>
      <c r="G807" s="75"/>
    </row>
    <row r="808">
      <c r="B808" s="79"/>
      <c r="D808" s="75"/>
      <c r="E808" s="75"/>
      <c r="F808" s="75"/>
      <c r="G808" s="75"/>
    </row>
    <row r="809">
      <c r="B809" s="79"/>
      <c r="D809" s="75"/>
      <c r="E809" s="75"/>
      <c r="F809" s="75"/>
      <c r="G809" s="75"/>
    </row>
    <row r="810">
      <c r="B810" s="79"/>
      <c r="D810" s="75"/>
      <c r="E810" s="75"/>
      <c r="F810" s="75"/>
      <c r="G810" s="75"/>
    </row>
    <row r="811">
      <c r="B811" s="79"/>
      <c r="D811" s="75"/>
      <c r="E811" s="75"/>
      <c r="F811" s="75"/>
      <c r="G811" s="75"/>
    </row>
    <row r="812">
      <c r="B812" s="79"/>
      <c r="D812" s="75"/>
      <c r="E812" s="75"/>
      <c r="F812" s="75"/>
      <c r="G812" s="75"/>
    </row>
    <row r="813">
      <c r="B813" s="79"/>
      <c r="D813" s="75"/>
      <c r="E813" s="75"/>
      <c r="F813" s="75"/>
      <c r="G813" s="75"/>
    </row>
    <row r="814">
      <c r="B814" s="79"/>
      <c r="D814" s="75"/>
      <c r="E814" s="75"/>
      <c r="F814" s="75"/>
      <c r="G814" s="75"/>
    </row>
    <row r="815">
      <c r="B815" s="79"/>
      <c r="D815" s="75"/>
      <c r="E815" s="75"/>
      <c r="F815" s="75"/>
      <c r="G815" s="75"/>
    </row>
    <row r="816">
      <c r="B816" s="79"/>
      <c r="D816" s="75"/>
      <c r="E816" s="75"/>
      <c r="F816" s="75"/>
      <c r="G816" s="75"/>
    </row>
    <row r="817">
      <c r="B817" s="79"/>
      <c r="D817" s="75"/>
      <c r="E817" s="75"/>
      <c r="F817" s="75"/>
      <c r="G817" s="75"/>
    </row>
    <row r="818">
      <c r="B818" s="79"/>
      <c r="D818" s="75"/>
      <c r="E818" s="75"/>
      <c r="F818" s="75"/>
      <c r="G818" s="75"/>
    </row>
    <row r="819">
      <c r="B819" s="79"/>
      <c r="D819" s="75"/>
      <c r="E819" s="75"/>
      <c r="F819" s="75"/>
      <c r="G819" s="75"/>
    </row>
    <row r="820">
      <c r="B820" s="79"/>
      <c r="D820" s="75"/>
      <c r="E820" s="75"/>
      <c r="F820" s="75"/>
      <c r="G820" s="75"/>
    </row>
    <row r="821">
      <c r="B821" s="79"/>
      <c r="D821" s="75"/>
      <c r="E821" s="75"/>
      <c r="F821" s="75"/>
      <c r="G821" s="75"/>
    </row>
    <row r="822">
      <c r="B822" s="79"/>
      <c r="D822" s="75"/>
      <c r="E822" s="75"/>
      <c r="F822" s="75"/>
      <c r="G822" s="75"/>
    </row>
    <row r="823">
      <c r="B823" s="79"/>
      <c r="D823" s="75"/>
      <c r="E823" s="75"/>
      <c r="F823" s="75"/>
      <c r="G823" s="75"/>
    </row>
    <row r="824">
      <c r="B824" s="79"/>
      <c r="D824" s="75"/>
      <c r="E824" s="75"/>
      <c r="F824" s="75"/>
      <c r="G824" s="75"/>
    </row>
    <row r="825">
      <c r="B825" s="79"/>
      <c r="D825" s="75"/>
      <c r="E825" s="75"/>
      <c r="F825" s="75"/>
      <c r="G825" s="75"/>
    </row>
    <row r="826">
      <c r="B826" s="79"/>
      <c r="D826" s="75"/>
      <c r="E826" s="75"/>
      <c r="F826" s="75"/>
      <c r="G826" s="75"/>
    </row>
    <row r="827">
      <c r="B827" s="79"/>
      <c r="D827" s="75"/>
      <c r="E827" s="75"/>
      <c r="F827" s="75"/>
      <c r="G827" s="75"/>
    </row>
    <row r="828">
      <c r="B828" s="79"/>
      <c r="D828" s="75"/>
      <c r="E828" s="75"/>
      <c r="F828" s="75"/>
      <c r="G828" s="75"/>
    </row>
    <row r="829">
      <c r="B829" s="79"/>
      <c r="D829" s="75"/>
      <c r="E829" s="75"/>
      <c r="F829" s="75"/>
      <c r="G829" s="75"/>
    </row>
    <row r="830">
      <c r="B830" s="79"/>
      <c r="D830" s="75"/>
      <c r="E830" s="75"/>
      <c r="F830" s="75"/>
      <c r="G830" s="75"/>
    </row>
    <row r="831">
      <c r="B831" s="79"/>
      <c r="D831" s="75"/>
      <c r="E831" s="75"/>
      <c r="F831" s="75"/>
      <c r="G831" s="75"/>
    </row>
    <row r="832">
      <c r="B832" s="79"/>
      <c r="D832" s="75"/>
      <c r="E832" s="75"/>
      <c r="F832" s="75"/>
      <c r="G832" s="75"/>
    </row>
    <row r="833">
      <c r="B833" s="79"/>
      <c r="D833" s="75"/>
      <c r="E833" s="75"/>
      <c r="F833" s="75"/>
      <c r="G833" s="75"/>
    </row>
    <row r="834">
      <c r="B834" s="79"/>
      <c r="D834" s="75"/>
      <c r="E834" s="75"/>
      <c r="F834" s="75"/>
      <c r="G834" s="75"/>
    </row>
    <row r="835">
      <c r="B835" s="79"/>
      <c r="D835" s="75"/>
      <c r="E835" s="75"/>
      <c r="F835" s="75"/>
      <c r="G835" s="75"/>
    </row>
    <row r="836">
      <c r="B836" s="79"/>
      <c r="D836" s="75"/>
      <c r="E836" s="75"/>
      <c r="F836" s="75"/>
      <c r="G836" s="75"/>
    </row>
    <row r="837">
      <c r="B837" s="79"/>
      <c r="D837" s="75"/>
      <c r="E837" s="75"/>
      <c r="F837" s="75"/>
      <c r="G837" s="75"/>
    </row>
    <row r="838">
      <c r="B838" s="79"/>
      <c r="D838" s="75"/>
      <c r="E838" s="75"/>
      <c r="F838" s="75"/>
      <c r="G838" s="75"/>
    </row>
    <row r="839">
      <c r="B839" s="79"/>
      <c r="D839" s="75"/>
      <c r="E839" s="75"/>
      <c r="F839" s="75"/>
      <c r="G839" s="75"/>
    </row>
    <row r="840">
      <c r="B840" s="79"/>
      <c r="D840" s="75"/>
      <c r="E840" s="75"/>
      <c r="F840" s="75"/>
      <c r="G840" s="75"/>
    </row>
    <row r="841">
      <c r="B841" s="79"/>
      <c r="D841" s="75"/>
      <c r="E841" s="75"/>
      <c r="F841" s="75"/>
      <c r="G841" s="75"/>
    </row>
    <row r="842">
      <c r="B842" s="79"/>
      <c r="D842" s="75"/>
      <c r="E842" s="75"/>
      <c r="F842" s="75"/>
      <c r="G842" s="75"/>
    </row>
    <row r="843">
      <c r="B843" s="79"/>
      <c r="D843" s="75"/>
      <c r="E843" s="75"/>
      <c r="F843" s="75"/>
      <c r="G843" s="75"/>
    </row>
    <row r="844">
      <c r="B844" s="79"/>
      <c r="D844" s="75"/>
      <c r="E844" s="75"/>
      <c r="F844" s="75"/>
      <c r="G844" s="75"/>
    </row>
    <row r="845">
      <c r="B845" s="79"/>
      <c r="D845" s="75"/>
      <c r="E845" s="75"/>
      <c r="F845" s="75"/>
      <c r="G845" s="75"/>
    </row>
    <row r="846">
      <c r="B846" s="79"/>
      <c r="D846" s="75"/>
      <c r="E846" s="75"/>
      <c r="F846" s="75"/>
      <c r="G846" s="75"/>
    </row>
    <row r="847">
      <c r="B847" s="79"/>
      <c r="D847" s="75"/>
      <c r="E847" s="75"/>
      <c r="F847" s="75"/>
      <c r="G847" s="75"/>
    </row>
    <row r="848">
      <c r="B848" s="79"/>
      <c r="D848" s="75"/>
      <c r="E848" s="75"/>
      <c r="F848" s="75"/>
      <c r="G848" s="75"/>
    </row>
    <row r="849">
      <c r="B849" s="79"/>
      <c r="D849" s="75"/>
      <c r="E849" s="75"/>
      <c r="F849" s="75"/>
      <c r="G849" s="75"/>
    </row>
    <row r="850">
      <c r="B850" s="79"/>
      <c r="D850" s="75"/>
      <c r="E850" s="75"/>
      <c r="F850" s="75"/>
      <c r="G850" s="75"/>
    </row>
    <row r="851">
      <c r="B851" s="79"/>
      <c r="D851" s="75"/>
      <c r="E851" s="75"/>
      <c r="F851" s="75"/>
      <c r="G851" s="75"/>
    </row>
    <row r="852">
      <c r="B852" s="79"/>
      <c r="D852" s="75"/>
      <c r="E852" s="75"/>
      <c r="F852" s="75"/>
      <c r="G852" s="75"/>
    </row>
    <row r="853">
      <c r="B853" s="79"/>
      <c r="D853" s="75"/>
      <c r="E853" s="75"/>
      <c r="F853" s="75"/>
      <c r="G853" s="75"/>
    </row>
    <row r="854">
      <c r="B854" s="79"/>
      <c r="D854" s="75"/>
      <c r="E854" s="75"/>
      <c r="F854" s="75"/>
      <c r="G854" s="75"/>
    </row>
    <row r="855">
      <c r="B855" s="79"/>
      <c r="D855" s="75"/>
      <c r="E855" s="75"/>
      <c r="F855" s="75"/>
      <c r="G855" s="75"/>
    </row>
    <row r="856">
      <c r="B856" s="79"/>
      <c r="D856" s="75"/>
      <c r="E856" s="75"/>
      <c r="F856" s="75"/>
      <c r="G856" s="75"/>
    </row>
    <row r="857">
      <c r="B857" s="79"/>
      <c r="D857" s="75"/>
      <c r="E857" s="75"/>
      <c r="F857" s="75"/>
      <c r="G857" s="75"/>
    </row>
    <row r="858">
      <c r="B858" s="79"/>
      <c r="D858" s="75"/>
      <c r="E858" s="75"/>
      <c r="F858" s="75"/>
      <c r="G858" s="75"/>
    </row>
    <row r="859">
      <c r="B859" s="79"/>
      <c r="D859" s="75"/>
      <c r="E859" s="75"/>
      <c r="F859" s="75"/>
      <c r="G859" s="75"/>
    </row>
    <row r="860">
      <c r="B860" s="79"/>
      <c r="D860" s="75"/>
      <c r="E860" s="75"/>
      <c r="F860" s="75"/>
      <c r="G860" s="75"/>
    </row>
    <row r="861">
      <c r="B861" s="79"/>
      <c r="D861" s="75"/>
      <c r="E861" s="75"/>
      <c r="F861" s="75"/>
      <c r="G861" s="75"/>
    </row>
    <row r="862">
      <c r="B862" s="79"/>
      <c r="D862" s="75"/>
      <c r="E862" s="75"/>
      <c r="F862" s="75"/>
      <c r="G862" s="75"/>
    </row>
    <row r="863">
      <c r="B863" s="79"/>
      <c r="D863" s="75"/>
      <c r="E863" s="75"/>
      <c r="F863" s="75"/>
      <c r="G863" s="75"/>
    </row>
    <row r="864">
      <c r="B864" s="79"/>
      <c r="D864" s="75"/>
      <c r="E864" s="75"/>
      <c r="F864" s="75"/>
      <c r="G864" s="75"/>
    </row>
    <row r="865">
      <c r="B865" s="79"/>
      <c r="D865" s="75"/>
      <c r="E865" s="75"/>
      <c r="F865" s="75"/>
      <c r="G865" s="75"/>
    </row>
    <row r="866">
      <c r="B866" s="79"/>
      <c r="D866" s="75"/>
      <c r="E866" s="75"/>
      <c r="F866" s="75"/>
      <c r="G866" s="75"/>
    </row>
    <row r="867">
      <c r="B867" s="79"/>
      <c r="D867" s="75"/>
      <c r="E867" s="75"/>
      <c r="F867" s="75"/>
      <c r="G867" s="75"/>
    </row>
    <row r="868">
      <c r="B868" s="79"/>
      <c r="D868" s="75"/>
      <c r="E868" s="75"/>
      <c r="F868" s="75"/>
      <c r="G868" s="75"/>
    </row>
    <row r="869">
      <c r="B869" s="79"/>
      <c r="D869" s="75"/>
      <c r="E869" s="75"/>
      <c r="F869" s="75"/>
      <c r="G869" s="75"/>
    </row>
    <row r="870">
      <c r="B870" s="79"/>
      <c r="D870" s="75"/>
      <c r="E870" s="75"/>
      <c r="F870" s="75"/>
      <c r="G870" s="75"/>
    </row>
    <row r="871">
      <c r="B871" s="79"/>
      <c r="D871" s="75"/>
      <c r="E871" s="75"/>
      <c r="F871" s="75"/>
      <c r="G871" s="75"/>
    </row>
    <row r="872">
      <c r="B872" s="79"/>
      <c r="D872" s="75"/>
      <c r="E872" s="75"/>
      <c r="F872" s="75"/>
      <c r="G872" s="75"/>
    </row>
    <row r="873">
      <c r="B873" s="79"/>
      <c r="D873" s="75"/>
      <c r="E873" s="75"/>
      <c r="F873" s="75"/>
      <c r="G873" s="75"/>
    </row>
    <row r="874">
      <c r="B874" s="79"/>
      <c r="D874" s="75"/>
      <c r="E874" s="75"/>
      <c r="F874" s="75"/>
      <c r="G874" s="75"/>
    </row>
    <row r="875">
      <c r="B875" s="79"/>
      <c r="D875" s="75"/>
      <c r="E875" s="75"/>
      <c r="F875" s="75"/>
      <c r="G875" s="75"/>
    </row>
    <row r="876">
      <c r="B876" s="79"/>
      <c r="D876" s="75"/>
      <c r="E876" s="75"/>
      <c r="F876" s="75"/>
      <c r="G876" s="75"/>
    </row>
    <row r="877">
      <c r="B877" s="79"/>
      <c r="D877" s="75"/>
      <c r="E877" s="75"/>
      <c r="F877" s="75"/>
      <c r="G877" s="75"/>
    </row>
    <row r="878">
      <c r="B878" s="79"/>
      <c r="D878" s="75"/>
      <c r="E878" s="75"/>
      <c r="F878" s="75"/>
      <c r="G878" s="75"/>
    </row>
    <row r="879">
      <c r="B879" s="79"/>
      <c r="D879" s="75"/>
      <c r="E879" s="75"/>
      <c r="F879" s="75"/>
      <c r="G879" s="75"/>
    </row>
    <row r="880">
      <c r="B880" s="79"/>
      <c r="D880" s="75"/>
      <c r="E880" s="75"/>
      <c r="F880" s="75"/>
      <c r="G880" s="75"/>
    </row>
    <row r="881">
      <c r="B881" s="79"/>
      <c r="D881" s="75"/>
      <c r="E881" s="75"/>
      <c r="F881" s="75"/>
      <c r="G881" s="75"/>
    </row>
    <row r="882">
      <c r="B882" s="79"/>
      <c r="D882" s="75"/>
      <c r="E882" s="75"/>
      <c r="F882" s="75"/>
      <c r="G882" s="75"/>
    </row>
    <row r="883">
      <c r="B883" s="79"/>
      <c r="D883" s="75"/>
      <c r="E883" s="75"/>
      <c r="F883" s="75"/>
      <c r="G883" s="75"/>
    </row>
    <row r="884">
      <c r="B884" s="79"/>
      <c r="D884" s="75"/>
      <c r="E884" s="75"/>
      <c r="F884" s="75"/>
      <c r="G884" s="75"/>
    </row>
    <row r="885">
      <c r="B885" s="79"/>
      <c r="D885" s="75"/>
      <c r="E885" s="75"/>
      <c r="F885" s="75"/>
      <c r="G885" s="75"/>
    </row>
    <row r="886">
      <c r="B886" s="79"/>
      <c r="D886" s="75"/>
      <c r="E886" s="75"/>
      <c r="F886" s="75"/>
      <c r="G886" s="75"/>
    </row>
    <row r="887">
      <c r="B887" s="79"/>
      <c r="D887" s="75"/>
      <c r="E887" s="75"/>
      <c r="F887" s="75"/>
      <c r="G887" s="75"/>
    </row>
    <row r="888">
      <c r="B888" s="79"/>
      <c r="D888" s="75"/>
      <c r="E888" s="75"/>
      <c r="F888" s="75"/>
      <c r="G888" s="75"/>
    </row>
    <row r="889">
      <c r="B889" s="79"/>
      <c r="D889" s="75"/>
      <c r="E889" s="75"/>
      <c r="F889" s="75"/>
      <c r="G889" s="75"/>
    </row>
    <row r="890">
      <c r="B890" s="79"/>
      <c r="D890" s="75"/>
      <c r="E890" s="75"/>
      <c r="F890" s="75"/>
      <c r="G890" s="75"/>
    </row>
    <row r="891">
      <c r="B891" s="79"/>
      <c r="D891" s="75"/>
      <c r="E891" s="75"/>
      <c r="F891" s="75"/>
      <c r="G891" s="75"/>
    </row>
    <row r="892">
      <c r="B892" s="79"/>
      <c r="D892" s="75"/>
      <c r="E892" s="75"/>
      <c r="F892" s="75"/>
      <c r="G892" s="75"/>
    </row>
    <row r="893">
      <c r="B893" s="79"/>
      <c r="D893" s="75"/>
      <c r="E893" s="75"/>
      <c r="F893" s="75"/>
      <c r="G893" s="75"/>
    </row>
    <row r="894">
      <c r="B894" s="79"/>
      <c r="D894" s="75"/>
      <c r="E894" s="75"/>
      <c r="F894" s="75"/>
      <c r="G894" s="75"/>
    </row>
    <row r="895">
      <c r="B895" s="79"/>
      <c r="D895" s="75"/>
      <c r="E895" s="75"/>
      <c r="F895" s="75"/>
      <c r="G895" s="75"/>
    </row>
    <row r="896">
      <c r="B896" s="79"/>
      <c r="D896" s="75"/>
      <c r="E896" s="75"/>
      <c r="F896" s="75"/>
      <c r="G896" s="75"/>
    </row>
    <row r="897">
      <c r="B897" s="79"/>
      <c r="D897" s="75"/>
      <c r="E897" s="75"/>
      <c r="F897" s="75"/>
      <c r="G897" s="75"/>
    </row>
    <row r="898">
      <c r="B898" s="79"/>
      <c r="D898" s="75"/>
      <c r="E898" s="75"/>
      <c r="F898" s="75"/>
      <c r="G898" s="75"/>
    </row>
    <row r="899">
      <c r="B899" s="79"/>
      <c r="D899" s="75"/>
      <c r="E899" s="75"/>
      <c r="F899" s="75"/>
      <c r="G899" s="75"/>
    </row>
    <row r="900">
      <c r="B900" s="79"/>
      <c r="D900" s="75"/>
      <c r="E900" s="75"/>
      <c r="F900" s="75"/>
      <c r="G900" s="75"/>
    </row>
    <row r="901">
      <c r="B901" s="79"/>
      <c r="D901" s="75"/>
      <c r="E901" s="75"/>
      <c r="F901" s="75"/>
      <c r="G901" s="75"/>
    </row>
    <row r="902">
      <c r="B902" s="79"/>
      <c r="D902" s="75"/>
      <c r="E902" s="75"/>
      <c r="F902" s="75"/>
      <c r="G902" s="75"/>
    </row>
    <row r="903">
      <c r="B903" s="79"/>
      <c r="D903" s="75"/>
      <c r="E903" s="75"/>
      <c r="F903" s="75"/>
      <c r="G903" s="75"/>
    </row>
    <row r="904">
      <c r="B904" s="79"/>
      <c r="D904" s="75"/>
      <c r="E904" s="75"/>
      <c r="F904" s="75"/>
      <c r="G904" s="75"/>
    </row>
    <row r="905">
      <c r="B905" s="79"/>
      <c r="D905" s="75"/>
      <c r="E905" s="75"/>
      <c r="F905" s="75"/>
      <c r="G905" s="75"/>
    </row>
    <row r="906">
      <c r="B906" s="79"/>
      <c r="D906" s="75"/>
      <c r="E906" s="75"/>
      <c r="F906" s="75"/>
      <c r="G906" s="75"/>
    </row>
    <row r="907">
      <c r="B907" s="79"/>
      <c r="D907" s="75"/>
      <c r="E907" s="75"/>
      <c r="F907" s="75"/>
      <c r="G907" s="75"/>
    </row>
    <row r="908">
      <c r="B908" s="79"/>
      <c r="D908" s="75"/>
      <c r="E908" s="75"/>
      <c r="F908" s="75"/>
      <c r="G908" s="75"/>
    </row>
    <row r="909">
      <c r="B909" s="79"/>
      <c r="D909" s="75"/>
      <c r="E909" s="75"/>
      <c r="F909" s="75"/>
      <c r="G909" s="75"/>
    </row>
    <row r="910">
      <c r="B910" s="79"/>
      <c r="D910" s="75"/>
      <c r="E910" s="75"/>
      <c r="F910" s="75"/>
      <c r="G910" s="75"/>
    </row>
    <row r="911">
      <c r="B911" s="79"/>
      <c r="D911" s="75"/>
      <c r="E911" s="75"/>
      <c r="F911" s="75"/>
      <c r="G911" s="75"/>
    </row>
    <row r="912">
      <c r="B912" s="79"/>
      <c r="D912" s="75"/>
      <c r="E912" s="75"/>
      <c r="F912" s="75"/>
      <c r="G912" s="75"/>
    </row>
    <row r="913">
      <c r="B913" s="79"/>
      <c r="D913" s="75"/>
      <c r="E913" s="75"/>
      <c r="F913" s="75"/>
      <c r="G913" s="75"/>
    </row>
    <row r="914">
      <c r="B914" s="79"/>
      <c r="D914" s="75"/>
      <c r="E914" s="75"/>
      <c r="F914" s="75"/>
      <c r="G914" s="75"/>
    </row>
    <row r="915">
      <c r="B915" s="79"/>
      <c r="D915" s="75"/>
      <c r="E915" s="75"/>
      <c r="F915" s="75"/>
      <c r="G915" s="75"/>
    </row>
    <row r="916">
      <c r="B916" s="79"/>
      <c r="D916" s="75"/>
      <c r="E916" s="75"/>
      <c r="F916" s="75"/>
      <c r="G916" s="75"/>
    </row>
    <row r="917">
      <c r="B917" s="79"/>
      <c r="D917" s="75"/>
      <c r="E917" s="75"/>
      <c r="F917" s="75"/>
      <c r="G917" s="75"/>
    </row>
    <row r="918">
      <c r="B918" s="79"/>
      <c r="D918" s="75"/>
      <c r="E918" s="75"/>
      <c r="F918" s="75"/>
      <c r="G918" s="75"/>
    </row>
    <row r="919">
      <c r="B919" s="79"/>
      <c r="D919" s="75"/>
      <c r="E919" s="75"/>
      <c r="F919" s="75"/>
      <c r="G919" s="75"/>
    </row>
    <row r="920">
      <c r="B920" s="79"/>
      <c r="D920" s="75"/>
      <c r="E920" s="75"/>
      <c r="F920" s="75"/>
      <c r="G920" s="75"/>
    </row>
    <row r="921">
      <c r="B921" s="79"/>
      <c r="D921" s="75"/>
      <c r="E921" s="75"/>
      <c r="F921" s="75"/>
      <c r="G921" s="75"/>
    </row>
    <row r="922">
      <c r="B922" s="79"/>
      <c r="D922" s="75"/>
      <c r="E922" s="75"/>
      <c r="F922" s="75"/>
      <c r="G922" s="75"/>
    </row>
    <row r="923">
      <c r="B923" s="79"/>
      <c r="D923" s="75"/>
      <c r="E923" s="75"/>
      <c r="F923" s="75"/>
      <c r="G923" s="75"/>
    </row>
    <row r="924">
      <c r="B924" s="79"/>
      <c r="D924" s="75"/>
      <c r="E924" s="75"/>
      <c r="F924" s="75"/>
      <c r="G924" s="75"/>
    </row>
    <row r="925">
      <c r="B925" s="79"/>
      <c r="D925" s="75"/>
      <c r="E925" s="75"/>
      <c r="F925" s="75"/>
      <c r="G925" s="75"/>
    </row>
    <row r="926">
      <c r="B926" s="79"/>
      <c r="D926" s="75"/>
      <c r="E926" s="75"/>
      <c r="F926" s="75"/>
      <c r="G926" s="75"/>
    </row>
    <row r="927">
      <c r="B927" s="79"/>
      <c r="D927" s="75"/>
      <c r="E927" s="75"/>
      <c r="F927" s="75"/>
      <c r="G927" s="75"/>
    </row>
    <row r="928">
      <c r="B928" s="79"/>
      <c r="D928" s="75"/>
      <c r="E928" s="75"/>
      <c r="F928" s="75"/>
      <c r="G928" s="75"/>
    </row>
    <row r="929">
      <c r="B929" s="79"/>
      <c r="D929" s="75"/>
      <c r="E929" s="75"/>
      <c r="F929" s="75"/>
      <c r="G929" s="75"/>
    </row>
    <row r="930">
      <c r="B930" s="79"/>
      <c r="D930" s="75"/>
      <c r="E930" s="75"/>
      <c r="F930" s="75"/>
      <c r="G930" s="75"/>
    </row>
    <row r="931">
      <c r="B931" s="79"/>
      <c r="D931" s="75"/>
      <c r="E931" s="75"/>
      <c r="F931" s="75"/>
      <c r="G931" s="75"/>
    </row>
    <row r="932">
      <c r="B932" s="79"/>
      <c r="D932" s="75"/>
      <c r="E932" s="75"/>
      <c r="F932" s="75"/>
      <c r="G932" s="75"/>
    </row>
    <row r="933">
      <c r="B933" s="79"/>
      <c r="D933" s="75"/>
      <c r="E933" s="75"/>
      <c r="F933" s="75"/>
      <c r="G933" s="75"/>
    </row>
    <row r="934">
      <c r="B934" s="79"/>
      <c r="D934" s="75"/>
      <c r="E934" s="75"/>
      <c r="F934" s="75"/>
      <c r="G934" s="75"/>
    </row>
    <row r="935">
      <c r="B935" s="79"/>
      <c r="D935" s="75"/>
      <c r="E935" s="75"/>
      <c r="F935" s="75"/>
      <c r="G935" s="75"/>
    </row>
    <row r="936">
      <c r="B936" s="79"/>
      <c r="D936" s="75"/>
      <c r="E936" s="75"/>
      <c r="F936" s="75"/>
      <c r="G936" s="75"/>
    </row>
    <row r="937">
      <c r="B937" s="79"/>
      <c r="D937" s="75"/>
      <c r="E937" s="75"/>
      <c r="F937" s="75"/>
      <c r="G937" s="75"/>
    </row>
    <row r="938">
      <c r="B938" s="79"/>
      <c r="D938" s="75"/>
      <c r="E938" s="75"/>
      <c r="F938" s="75"/>
      <c r="G938" s="75"/>
    </row>
    <row r="939">
      <c r="B939" s="79"/>
      <c r="D939" s="75"/>
      <c r="E939" s="75"/>
      <c r="F939" s="75"/>
      <c r="G939" s="75"/>
    </row>
    <row r="940">
      <c r="B940" s="79"/>
      <c r="D940" s="75"/>
      <c r="E940" s="75"/>
      <c r="F940" s="75"/>
      <c r="G940" s="75"/>
    </row>
    <row r="941">
      <c r="B941" s="79"/>
      <c r="D941" s="75"/>
      <c r="E941" s="75"/>
      <c r="F941" s="75"/>
      <c r="G941" s="75"/>
    </row>
    <row r="942">
      <c r="B942" s="79"/>
      <c r="D942" s="75"/>
      <c r="E942" s="75"/>
      <c r="F942" s="75"/>
      <c r="G942" s="75"/>
    </row>
    <row r="943">
      <c r="B943" s="79"/>
      <c r="D943" s="75"/>
      <c r="E943" s="75"/>
      <c r="F943" s="75"/>
      <c r="G943" s="75"/>
    </row>
    <row r="944">
      <c r="B944" s="79"/>
      <c r="D944" s="75"/>
      <c r="E944" s="75"/>
      <c r="F944" s="75"/>
      <c r="G944" s="75"/>
    </row>
    <row r="945">
      <c r="B945" s="79"/>
      <c r="D945" s="75"/>
      <c r="E945" s="75"/>
      <c r="F945" s="75"/>
      <c r="G945" s="75"/>
    </row>
    <row r="946">
      <c r="B946" s="79"/>
      <c r="D946" s="75"/>
      <c r="E946" s="75"/>
      <c r="F946" s="75"/>
      <c r="G946" s="75"/>
    </row>
    <row r="947">
      <c r="B947" s="79"/>
      <c r="D947" s="75"/>
      <c r="E947" s="75"/>
      <c r="F947" s="75"/>
      <c r="G947" s="75"/>
    </row>
    <row r="948">
      <c r="B948" s="79"/>
      <c r="D948" s="75"/>
      <c r="E948" s="75"/>
      <c r="F948" s="75"/>
      <c r="G948" s="75"/>
    </row>
    <row r="949">
      <c r="B949" s="79"/>
      <c r="D949" s="75"/>
      <c r="E949" s="75"/>
      <c r="F949" s="75"/>
      <c r="G949" s="75"/>
    </row>
    <row r="950">
      <c r="B950" s="79"/>
      <c r="D950" s="75"/>
      <c r="E950" s="75"/>
      <c r="F950" s="75"/>
      <c r="G950" s="75"/>
    </row>
    <row r="951">
      <c r="B951" s="79"/>
      <c r="D951" s="75"/>
      <c r="E951" s="75"/>
      <c r="F951" s="75"/>
      <c r="G951" s="75"/>
    </row>
    <row r="952">
      <c r="B952" s="79"/>
      <c r="D952" s="75"/>
      <c r="E952" s="75"/>
      <c r="F952" s="75"/>
      <c r="G952" s="75"/>
    </row>
    <row r="953">
      <c r="B953" s="79"/>
      <c r="D953" s="75"/>
      <c r="E953" s="75"/>
      <c r="F953" s="75"/>
      <c r="G953" s="75"/>
    </row>
    <row r="954">
      <c r="B954" s="79"/>
      <c r="D954" s="75"/>
      <c r="E954" s="75"/>
      <c r="F954" s="75"/>
      <c r="G954" s="75"/>
    </row>
    <row r="955">
      <c r="B955" s="79"/>
      <c r="D955" s="75"/>
      <c r="E955" s="75"/>
      <c r="F955" s="75"/>
      <c r="G955" s="75"/>
    </row>
    <row r="956">
      <c r="B956" s="79"/>
      <c r="D956" s="75"/>
      <c r="E956" s="75"/>
      <c r="F956" s="75"/>
      <c r="G956" s="75"/>
    </row>
    <row r="957">
      <c r="B957" s="79"/>
      <c r="D957" s="75"/>
      <c r="E957" s="75"/>
      <c r="F957" s="75"/>
      <c r="G957" s="75"/>
    </row>
    <row r="958">
      <c r="B958" s="79"/>
      <c r="D958" s="75"/>
      <c r="E958" s="75"/>
      <c r="F958" s="75"/>
      <c r="G958" s="75"/>
    </row>
    <row r="959">
      <c r="B959" s="79"/>
      <c r="D959" s="75"/>
      <c r="E959" s="75"/>
      <c r="F959" s="75"/>
      <c r="G959" s="75"/>
    </row>
    <row r="960">
      <c r="B960" s="79"/>
      <c r="D960" s="75"/>
      <c r="E960" s="75"/>
      <c r="F960" s="75"/>
      <c r="G960" s="75"/>
    </row>
    <row r="961">
      <c r="B961" s="79"/>
      <c r="D961" s="75"/>
      <c r="E961" s="75"/>
      <c r="F961" s="75"/>
      <c r="G961" s="75"/>
    </row>
    <row r="962">
      <c r="B962" s="79"/>
      <c r="D962" s="75"/>
      <c r="E962" s="75"/>
      <c r="F962" s="75"/>
      <c r="G962" s="75"/>
    </row>
    <row r="963">
      <c r="B963" s="79"/>
      <c r="D963" s="75"/>
      <c r="E963" s="75"/>
      <c r="F963" s="75"/>
      <c r="G963" s="75"/>
    </row>
    <row r="964">
      <c r="B964" s="79"/>
      <c r="D964" s="75"/>
      <c r="E964" s="75"/>
      <c r="F964" s="75"/>
      <c r="G964" s="75"/>
    </row>
    <row r="965">
      <c r="B965" s="79"/>
      <c r="D965" s="75"/>
      <c r="E965" s="75"/>
      <c r="F965" s="75"/>
      <c r="G965" s="75"/>
    </row>
    <row r="966">
      <c r="B966" s="79"/>
      <c r="D966" s="75"/>
      <c r="E966" s="75"/>
      <c r="F966" s="75"/>
      <c r="G966" s="75"/>
    </row>
    <row r="967">
      <c r="B967" s="79"/>
      <c r="D967" s="75"/>
      <c r="E967" s="75"/>
      <c r="F967" s="75"/>
      <c r="G967" s="75"/>
    </row>
    <row r="968">
      <c r="B968" s="79"/>
      <c r="D968" s="75"/>
      <c r="E968" s="75"/>
      <c r="F968" s="75"/>
      <c r="G968" s="75"/>
    </row>
    <row r="969">
      <c r="B969" s="79"/>
      <c r="D969" s="75"/>
      <c r="E969" s="75"/>
      <c r="F969" s="75"/>
      <c r="G969" s="75"/>
    </row>
    <row r="970">
      <c r="B970" s="79"/>
      <c r="D970" s="75"/>
      <c r="E970" s="75"/>
      <c r="F970" s="75"/>
      <c r="G970" s="75"/>
    </row>
    <row r="971">
      <c r="B971" s="79"/>
      <c r="D971" s="75"/>
      <c r="E971" s="75"/>
      <c r="F971" s="75"/>
      <c r="G971" s="75"/>
    </row>
    <row r="972">
      <c r="B972" s="79"/>
      <c r="D972" s="75"/>
      <c r="E972" s="75"/>
      <c r="F972" s="75"/>
      <c r="G972" s="75"/>
    </row>
    <row r="973">
      <c r="B973" s="79"/>
      <c r="D973" s="75"/>
      <c r="E973" s="75"/>
      <c r="F973" s="75"/>
      <c r="G973" s="75"/>
    </row>
    <row r="974">
      <c r="B974" s="79"/>
      <c r="D974" s="75"/>
      <c r="E974" s="75"/>
      <c r="F974" s="75"/>
      <c r="G974" s="75"/>
    </row>
    <row r="975">
      <c r="B975" s="79"/>
      <c r="D975" s="75"/>
      <c r="E975" s="75"/>
      <c r="F975" s="75"/>
      <c r="G975" s="75"/>
    </row>
    <row r="976">
      <c r="B976" s="79"/>
      <c r="D976" s="75"/>
      <c r="E976" s="75"/>
      <c r="F976" s="75"/>
      <c r="G976" s="75"/>
    </row>
    <row r="977">
      <c r="B977" s="79"/>
      <c r="D977" s="75"/>
      <c r="E977" s="75"/>
      <c r="F977" s="75"/>
      <c r="G977" s="75"/>
    </row>
    <row r="978">
      <c r="B978" s="79"/>
      <c r="D978" s="75"/>
      <c r="E978" s="75"/>
      <c r="F978" s="75"/>
      <c r="G978" s="75"/>
    </row>
    <row r="979">
      <c r="B979" s="79"/>
      <c r="D979" s="75"/>
      <c r="E979" s="75"/>
      <c r="F979" s="75"/>
      <c r="G979" s="75"/>
    </row>
    <row r="980">
      <c r="B980" s="79"/>
      <c r="D980" s="75"/>
      <c r="E980" s="75"/>
      <c r="F980" s="75"/>
      <c r="G980" s="75"/>
    </row>
    <row r="981">
      <c r="B981" s="79"/>
      <c r="D981" s="75"/>
      <c r="E981" s="75"/>
      <c r="F981" s="75"/>
      <c r="G981" s="75"/>
    </row>
    <row r="982">
      <c r="B982" s="79"/>
      <c r="D982" s="75"/>
      <c r="E982" s="75"/>
      <c r="F982" s="75"/>
      <c r="G982" s="75"/>
    </row>
    <row r="983">
      <c r="B983" s="79"/>
      <c r="D983" s="75"/>
      <c r="E983" s="75"/>
      <c r="F983" s="75"/>
      <c r="G983" s="75"/>
    </row>
    <row r="984">
      <c r="B984" s="79"/>
      <c r="D984" s="75"/>
      <c r="E984" s="75"/>
      <c r="F984" s="75"/>
      <c r="G984" s="75"/>
    </row>
    <row r="985">
      <c r="B985" s="79"/>
      <c r="D985" s="75"/>
      <c r="E985" s="75"/>
      <c r="F985" s="75"/>
      <c r="G985" s="75"/>
    </row>
    <row r="986">
      <c r="B986" s="79"/>
      <c r="D986" s="75"/>
      <c r="E986" s="75"/>
      <c r="F986" s="75"/>
      <c r="G986" s="75"/>
    </row>
    <row r="987">
      <c r="B987" s="79"/>
      <c r="D987" s="75"/>
      <c r="E987" s="75"/>
      <c r="F987" s="75"/>
      <c r="G987" s="75"/>
    </row>
    <row r="988">
      <c r="B988" s="79"/>
      <c r="D988" s="75"/>
      <c r="E988" s="75"/>
      <c r="F988" s="75"/>
      <c r="G988" s="75"/>
    </row>
    <row r="989">
      <c r="B989" s="79"/>
      <c r="D989" s="75"/>
      <c r="E989" s="75"/>
      <c r="F989" s="75"/>
      <c r="G989" s="75"/>
    </row>
    <row r="990">
      <c r="B990" s="79"/>
      <c r="D990" s="75"/>
      <c r="E990" s="75"/>
      <c r="F990" s="75"/>
      <c r="G990" s="75"/>
    </row>
    <row r="991">
      <c r="B991" s="79"/>
      <c r="D991" s="75"/>
      <c r="E991" s="75"/>
      <c r="F991" s="75"/>
      <c r="G991" s="75"/>
    </row>
    <row r="992">
      <c r="B992" s="79"/>
      <c r="D992" s="75"/>
      <c r="E992" s="75"/>
      <c r="F992" s="75"/>
      <c r="G992" s="75"/>
    </row>
    <row r="993">
      <c r="B993" s="79"/>
      <c r="D993" s="75"/>
      <c r="E993" s="75"/>
      <c r="F993" s="75"/>
      <c r="G993" s="75"/>
    </row>
    <row r="994">
      <c r="B994" s="79"/>
      <c r="D994" s="75"/>
      <c r="E994" s="75"/>
      <c r="F994" s="75"/>
      <c r="G994" s="75"/>
    </row>
    <row r="995">
      <c r="B995" s="79"/>
      <c r="D995" s="75"/>
      <c r="E995" s="75"/>
      <c r="F995" s="75"/>
      <c r="G995" s="75"/>
    </row>
    <row r="996">
      <c r="B996" s="79"/>
      <c r="D996" s="75"/>
      <c r="E996" s="75"/>
      <c r="F996" s="75"/>
      <c r="G996" s="75"/>
    </row>
    <row r="997">
      <c r="B997" s="79"/>
      <c r="D997" s="75"/>
      <c r="E997" s="75"/>
      <c r="F997" s="75"/>
      <c r="G997" s="75"/>
    </row>
    <row r="998">
      <c r="B998" s="79"/>
      <c r="D998" s="75"/>
      <c r="E998" s="75"/>
      <c r="F998" s="75"/>
      <c r="G998" s="75"/>
    </row>
    <row r="999">
      <c r="B999" s="79"/>
      <c r="D999" s="75"/>
      <c r="E999" s="75"/>
      <c r="F999" s="75"/>
      <c r="G999" s="75"/>
    </row>
    <row r="1000">
      <c r="B1000" s="79"/>
      <c r="D1000" s="75"/>
      <c r="E1000" s="75"/>
      <c r="F1000" s="75"/>
      <c r="G1000" s="75"/>
    </row>
  </sheetData>
  <mergeCells count="3">
    <mergeCell ref="I2:K2"/>
    <mergeCell ref="I27:K27"/>
    <mergeCell ref="I64:K64"/>
  </mergeCell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3" max="3" width="31.0"/>
    <col customWidth="1" min="4" max="4" width="25.25"/>
    <col customWidth="1" min="5" max="5" width="7.5"/>
    <col customWidth="1" min="7" max="7" width="32.63"/>
    <col customWidth="1" min="8" max="8" width="26.0"/>
    <col customWidth="1" min="9" max="9" width="7.13"/>
    <col customWidth="1" min="10" max="10" width="22.63"/>
    <col customWidth="1" min="11" max="11" width="28.0"/>
    <col customWidth="1" min="12" max="12" width="24.0"/>
    <col customWidth="1" min="13" max="13" width="20.88"/>
    <col customWidth="1" min="14" max="14" width="20.13"/>
  </cols>
  <sheetData>
    <row r="2">
      <c r="A2" s="179" t="s">
        <v>1757</v>
      </c>
      <c r="B2" s="180" t="s">
        <v>8</v>
      </c>
      <c r="C2" s="2"/>
      <c r="D2" s="3"/>
      <c r="E2" s="179"/>
      <c r="F2" s="181" t="s">
        <v>24</v>
      </c>
      <c r="G2" s="2"/>
      <c r="H2" s="3"/>
      <c r="J2" s="182" t="s">
        <v>16</v>
      </c>
      <c r="K2" s="2"/>
      <c r="L2" s="3"/>
      <c r="M2" s="183"/>
      <c r="N2" s="183"/>
      <c r="O2" s="183"/>
      <c r="P2" s="184"/>
      <c r="Q2" s="183"/>
      <c r="U2" s="185"/>
    </row>
    <row r="3">
      <c r="A3" s="186" t="s">
        <v>1758</v>
      </c>
      <c r="B3" s="187" t="s">
        <v>1759</v>
      </c>
      <c r="C3" s="188" t="s">
        <v>1760</v>
      </c>
      <c r="D3" s="189" t="s">
        <v>1761</v>
      </c>
      <c r="E3" s="190"/>
      <c r="F3" s="187" t="s">
        <v>1759</v>
      </c>
      <c r="G3" s="188" t="s">
        <v>1760</v>
      </c>
      <c r="H3" s="189" t="s">
        <v>1761</v>
      </c>
      <c r="J3" s="187" t="s">
        <v>1759</v>
      </c>
      <c r="K3" s="188" t="s">
        <v>1760</v>
      </c>
      <c r="L3" s="189" t="s">
        <v>1761</v>
      </c>
      <c r="M3" s="191"/>
      <c r="N3" s="191"/>
      <c r="O3" s="191"/>
      <c r="P3" s="184"/>
      <c r="Q3" s="191"/>
      <c r="R3" s="191"/>
      <c r="S3" s="191"/>
      <c r="T3" s="191"/>
      <c r="U3" s="191"/>
    </row>
    <row r="4">
      <c r="B4" s="192" t="s">
        <v>10</v>
      </c>
      <c r="C4" s="193" t="s">
        <v>1365</v>
      </c>
      <c r="D4" s="194" t="s">
        <v>1762</v>
      </c>
      <c r="E4" s="95"/>
      <c r="F4" s="195" t="s">
        <v>26</v>
      </c>
      <c r="G4" s="196" t="s">
        <v>451</v>
      </c>
      <c r="H4" s="197" t="s">
        <v>1763</v>
      </c>
      <c r="J4" s="198" t="s">
        <v>33</v>
      </c>
      <c r="K4" s="199" t="s">
        <v>1764</v>
      </c>
      <c r="L4" s="197"/>
      <c r="M4" s="191"/>
      <c r="N4" s="191"/>
      <c r="O4" s="185"/>
      <c r="P4" s="184"/>
      <c r="Q4" s="191"/>
      <c r="R4" s="200"/>
      <c r="S4" s="191"/>
      <c r="T4" s="201"/>
      <c r="U4" s="185"/>
    </row>
    <row r="5">
      <c r="B5" s="11"/>
      <c r="C5" s="193" t="s">
        <v>825</v>
      </c>
      <c r="D5" s="202" t="s">
        <v>1765</v>
      </c>
      <c r="E5" s="95"/>
      <c r="F5" s="11"/>
      <c r="G5" s="196" t="s">
        <v>1766</v>
      </c>
      <c r="H5" s="197" t="s">
        <v>1767</v>
      </c>
      <c r="J5" s="198" t="s">
        <v>39</v>
      </c>
      <c r="K5" s="203" t="s">
        <v>1768</v>
      </c>
      <c r="L5" s="197"/>
      <c r="M5" s="191"/>
      <c r="N5" s="191"/>
      <c r="O5" s="185"/>
      <c r="P5" s="184"/>
      <c r="Q5" s="191"/>
      <c r="R5" s="200"/>
      <c r="S5" s="191"/>
      <c r="T5" s="201"/>
      <c r="U5" s="185"/>
    </row>
    <row r="6">
      <c r="B6" s="11"/>
      <c r="C6" s="193" t="s">
        <v>727</v>
      </c>
      <c r="D6" s="202" t="s">
        <v>1769</v>
      </c>
      <c r="E6" s="95"/>
      <c r="F6" s="11"/>
      <c r="G6" s="196" t="s">
        <v>1770</v>
      </c>
      <c r="H6" s="204" t="s">
        <v>1771</v>
      </c>
      <c r="J6" s="198" t="s">
        <v>35</v>
      </c>
      <c r="K6" s="205" t="s">
        <v>1772</v>
      </c>
      <c r="L6" s="73"/>
      <c r="M6" s="191"/>
      <c r="N6" s="191"/>
      <c r="O6" s="185"/>
      <c r="P6" s="184"/>
      <c r="Q6" s="191"/>
      <c r="R6" s="200"/>
      <c r="S6" s="191"/>
      <c r="T6" s="201"/>
      <c r="U6" s="185"/>
    </row>
    <row r="7">
      <c r="B7" s="11"/>
      <c r="C7" s="206" t="s">
        <v>1253</v>
      </c>
      <c r="D7" s="207"/>
      <c r="E7" s="95"/>
      <c r="F7" s="11"/>
      <c r="G7" s="205" t="s">
        <v>1773</v>
      </c>
      <c r="H7" s="73"/>
      <c r="J7" s="208" t="s">
        <v>1774</v>
      </c>
      <c r="K7" s="209">
        <v>2.0</v>
      </c>
      <c r="L7" s="210">
        <f>COUNTA(L4:L6)</f>
        <v>0</v>
      </c>
      <c r="M7" s="191"/>
      <c r="N7" s="191"/>
      <c r="O7" s="185"/>
      <c r="P7" s="184"/>
      <c r="Q7" s="191"/>
      <c r="R7" s="200"/>
      <c r="S7" s="191"/>
      <c r="T7" s="201"/>
      <c r="U7" s="185"/>
    </row>
    <row r="8">
      <c r="B8" s="14"/>
      <c r="C8" s="193" t="s">
        <v>1775</v>
      </c>
      <c r="D8" s="207"/>
      <c r="E8" s="95"/>
      <c r="F8" s="11"/>
      <c r="G8" s="196" t="s">
        <v>1776</v>
      </c>
      <c r="H8" s="73"/>
      <c r="J8" s="95"/>
      <c r="K8" s="211"/>
      <c r="M8" s="191"/>
      <c r="N8" s="191"/>
      <c r="O8" s="185"/>
      <c r="P8" s="184"/>
      <c r="Q8" s="191"/>
      <c r="R8" s="200"/>
      <c r="S8" s="191"/>
      <c r="T8" s="201"/>
      <c r="U8" s="185"/>
    </row>
    <row r="9">
      <c r="B9" s="212" t="s">
        <v>18</v>
      </c>
      <c r="C9" s="196" t="s">
        <v>908</v>
      </c>
      <c r="D9" s="213" t="s">
        <v>1777</v>
      </c>
      <c r="E9" s="95"/>
      <c r="F9" s="11"/>
      <c r="G9" s="196" t="s">
        <v>1778</v>
      </c>
      <c r="H9" s="73"/>
      <c r="J9" s="95"/>
      <c r="K9" s="211"/>
      <c r="M9" s="191"/>
      <c r="N9" s="191"/>
      <c r="O9" s="185"/>
      <c r="P9" s="184"/>
      <c r="Q9" s="191"/>
      <c r="R9" s="214"/>
      <c r="S9" s="191"/>
      <c r="T9" s="201"/>
      <c r="U9" s="185"/>
    </row>
    <row r="10">
      <c r="B10" s="11"/>
      <c r="C10" s="215" t="s">
        <v>641</v>
      </c>
      <c r="D10" s="213" t="s">
        <v>1779</v>
      </c>
      <c r="E10" s="95"/>
      <c r="F10" s="11"/>
      <c r="G10" s="196" t="s">
        <v>323</v>
      </c>
      <c r="H10" s="73"/>
      <c r="J10" s="95"/>
      <c r="K10" s="211"/>
      <c r="M10" s="191"/>
      <c r="N10" s="191"/>
      <c r="O10" s="185"/>
      <c r="P10" s="184"/>
      <c r="Q10" s="191"/>
      <c r="R10" s="214"/>
      <c r="S10" s="191"/>
      <c r="T10" s="191"/>
      <c r="U10" s="185"/>
    </row>
    <row r="11">
      <c r="B11" s="11"/>
      <c r="C11" s="215" t="s">
        <v>1511</v>
      </c>
      <c r="D11" s="213" t="s">
        <v>113</v>
      </c>
      <c r="E11" s="95"/>
      <c r="F11" s="14"/>
      <c r="G11" s="196" t="s">
        <v>1780</v>
      </c>
      <c r="H11" s="73"/>
      <c r="J11" s="95"/>
      <c r="K11" s="211"/>
      <c r="M11" s="191"/>
      <c r="N11" s="191"/>
      <c r="O11" s="216"/>
      <c r="P11" s="184"/>
      <c r="Q11" s="191"/>
      <c r="R11" s="214"/>
      <c r="S11" s="191"/>
      <c r="T11" s="191"/>
      <c r="U11" s="185"/>
    </row>
    <row r="12">
      <c r="B12" s="11"/>
      <c r="C12" s="215" t="s">
        <v>553</v>
      </c>
      <c r="D12" s="213" t="s">
        <v>1781</v>
      </c>
      <c r="E12" s="95"/>
      <c r="F12" s="217" t="s">
        <v>29</v>
      </c>
      <c r="G12" s="218" t="s">
        <v>1782</v>
      </c>
      <c r="H12" s="219" t="s">
        <v>1783</v>
      </c>
      <c r="M12" s="191"/>
      <c r="N12" s="191"/>
      <c r="O12" s="220"/>
      <c r="P12" s="184"/>
      <c r="Q12" s="191"/>
      <c r="R12" s="214"/>
      <c r="S12" s="191"/>
      <c r="T12" s="191"/>
      <c r="U12" s="185"/>
    </row>
    <row r="13">
      <c r="B13" s="11"/>
      <c r="C13" s="196" t="s">
        <v>880</v>
      </c>
      <c r="D13" s="221"/>
      <c r="E13" s="95"/>
      <c r="F13" s="11"/>
      <c r="G13" s="206" t="s">
        <v>1784</v>
      </c>
      <c r="H13" s="219" t="s">
        <v>1785</v>
      </c>
      <c r="J13" s="95"/>
      <c r="K13" s="211"/>
      <c r="L13" s="53"/>
      <c r="M13" s="191"/>
      <c r="N13" s="191"/>
      <c r="O13" s="185"/>
      <c r="P13" s="184"/>
      <c r="Q13" s="191"/>
      <c r="R13" s="214"/>
      <c r="S13" s="191"/>
      <c r="T13" s="191"/>
      <c r="U13" s="185"/>
    </row>
    <row r="14">
      <c r="B14" s="14"/>
      <c r="C14" s="196" t="s">
        <v>1786</v>
      </c>
      <c r="D14" s="221"/>
      <c r="E14" s="95"/>
      <c r="F14" s="11"/>
      <c r="G14" s="206" t="s">
        <v>1787</v>
      </c>
      <c r="H14" s="219" t="s">
        <v>1788</v>
      </c>
      <c r="J14" s="95"/>
      <c r="K14" s="211"/>
      <c r="L14" s="53"/>
      <c r="M14" s="191"/>
      <c r="N14" s="191"/>
      <c r="O14" s="185"/>
      <c r="P14" s="184"/>
      <c r="Q14" s="191"/>
      <c r="R14" s="214"/>
      <c r="S14" s="191"/>
      <c r="T14" s="191"/>
      <c r="U14" s="185"/>
    </row>
    <row r="15">
      <c r="B15" s="222" t="s">
        <v>15</v>
      </c>
      <c r="C15" s="193" t="s">
        <v>1789</v>
      </c>
      <c r="D15" s="223" t="s">
        <v>1790</v>
      </c>
      <c r="E15" s="95"/>
      <c r="F15" s="11"/>
      <c r="G15" s="206" t="s">
        <v>1791</v>
      </c>
      <c r="H15" s="219" t="s">
        <v>1792</v>
      </c>
      <c r="J15" s="95"/>
      <c r="K15" s="211"/>
      <c r="L15" s="53"/>
      <c r="M15" s="191"/>
      <c r="N15" s="201"/>
      <c r="O15" s="185"/>
      <c r="P15" s="184"/>
      <c r="Q15" s="191"/>
      <c r="R15" s="224"/>
      <c r="S15" s="225"/>
      <c r="T15" s="225"/>
      <c r="U15" s="185"/>
    </row>
    <row r="16">
      <c r="B16" s="11"/>
      <c r="C16" s="193" t="s">
        <v>1173</v>
      </c>
      <c r="D16" s="207"/>
      <c r="E16" s="95"/>
      <c r="F16" s="14"/>
      <c r="G16" s="206" t="s">
        <v>1793</v>
      </c>
      <c r="H16" s="207"/>
      <c r="J16" s="95"/>
      <c r="K16" s="211"/>
      <c r="M16" s="191"/>
      <c r="N16" s="201"/>
      <c r="O16" s="185"/>
      <c r="P16" s="184"/>
      <c r="Q16" s="191"/>
      <c r="R16" s="224"/>
      <c r="S16" s="225"/>
      <c r="T16" s="225"/>
      <c r="U16" s="185"/>
    </row>
    <row r="17">
      <c r="B17" s="11"/>
      <c r="C17" s="193" t="s">
        <v>376</v>
      </c>
      <c r="D17" s="207"/>
      <c r="E17" s="95"/>
      <c r="F17" s="195" t="s">
        <v>31</v>
      </c>
      <c r="G17" s="196" t="s">
        <v>1794</v>
      </c>
      <c r="H17" s="73"/>
      <c r="M17" s="191"/>
      <c r="N17" s="191"/>
      <c r="O17" s="185"/>
      <c r="P17" s="184"/>
      <c r="Q17" s="191"/>
      <c r="R17" s="224"/>
      <c r="S17" s="225"/>
      <c r="T17" s="225"/>
      <c r="U17" s="185"/>
    </row>
    <row r="18">
      <c r="B18" s="14"/>
      <c r="C18" s="193" t="s">
        <v>1795</v>
      </c>
      <c r="D18" s="207"/>
      <c r="E18" s="95"/>
      <c r="F18" s="11"/>
      <c r="G18" s="196" t="s">
        <v>989</v>
      </c>
      <c r="H18" s="73"/>
      <c r="J18" s="95"/>
      <c r="K18" s="211"/>
      <c r="M18" s="191"/>
      <c r="N18" s="191"/>
      <c r="O18" s="185"/>
      <c r="P18" s="184"/>
      <c r="Q18" s="191"/>
      <c r="R18" s="224"/>
      <c r="S18" s="225"/>
      <c r="T18" s="225"/>
      <c r="U18" s="185"/>
    </row>
    <row r="19">
      <c r="B19" s="226" t="s">
        <v>21</v>
      </c>
      <c r="C19" s="215" t="s">
        <v>1273</v>
      </c>
      <c r="D19" s="221"/>
      <c r="E19" s="95"/>
      <c r="F19" s="11"/>
      <c r="G19" s="196" t="s">
        <v>1796</v>
      </c>
      <c r="H19" s="73"/>
      <c r="J19" s="95"/>
      <c r="K19" s="211"/>
      <c r="M19" s="191"/>
      <c r="N19" s="191"/>
      <c r="O19" s="185"/>
      <c r="P19" s="184"/>
      <c r="Q19" s="191"/>
      <c r="R19" s="224"/>
      <c r="S19" s="225"/>
      <c r="T19" s="225"/>
      <c r="U19" s="185"/>
    </row>
    <row r="20">
      <c r="B20" s="11"/>
      <c r="C20" s="215" t="s">
        <v>1797</v>
      </c>
      <c r="D20" s="221"/>
      <c r="E20" s="95"/>
      <c r="F20" s="11"/>
      <c r="G20" s="196" t="s">
        <v>199</v>
      </c>
      <c r="H20" s="73"/>
      <c r="J20" s="95"/>
      <c r="K20" s="211"/>
      <c r="M20" s="191"/>
      <c r="N20" s="191"/>
      <c r="O20" s="185"/>
      <c r="P20" s="184"/>
      <c r="Q20" s="191"/>
      <c r="R20" s="224"/>
      <c r="S20" s="225"/>
      <c r="T20" s="225"/>
      <c r="U20" s="185"/>
    </row>
    <row r="21">
      <c r="B21" s="11"/>
      <c r="C21" s="215" t="s">
        <v>511</v>
      </c>
      <c r="D21" s="221"/>
      <c r="E21" s="95"/>
      <c r="F21" s="11"/>
      <c r="G21" s="196" t="s">
        <v>1298</v>
      </c>
      <c r="H21" s="227"/>
      <c r="J21" s="95"/>
      <c r="K21" s="211"/>
      <c r="L21" s="228"/>
      <c r="M21" s="191"/>
      <c r="N21" s="191"/>
      <c r="O21" s="185"/>
      <c r="P21" s="184"/>
      <c r="Q21" s="191"/>
      <c r="R21" s="224"/>
      <c r="S21" s="225"/>
      <c r="T21" s="225"/>
      <c r="U21" s="185"/>
    </row>
    <row r="22">
      <c r="B22" s="11"/>
      <c r="C22" s="215" t="s">
        <v>1798</v>
      </c>
      <c r="D22" s="221"/>
      <c r="E22" s="229"/>
      <c r="F22" s="14"/>
      <c r="G22" s="197" t="s">
        <v>1799</v>
      </c>
      <c r="H22" s="73"/>
      <c r="J22" s="95"/>
      <c r="K22" s="53"/>
      <c r="M22" s="191"/>
      <c r="N22" s="191"/>
      <c r="O22" s="185"/>
      <c r="P22" s="184"/>
      <c r="Q22" s="191"/>
      <c r="R22" s="224"/>
      <c r="S22" s="225"/>
      <c r="T22" s="225"/>
      <c r="U22" s="185"/>
    </row>
    <row r="23">
      <c r="B23" s="11"/>
      <c r="C23" s="215" t="s">
        <v>346</v>
      </c>
      <c r="D23" s="221"/>
      <c r="E23" s="184"/>
      <c r="F23" s="195" t="s">
        <v>1800</v>
      </c>
      <c r="G23" s="73"/>
      <c r="H23" s="197" t="s">
        <v>1801</v>
      </c>
      <c r="J23" s="95"/>
      <c r="L23" s="53"/>
      <c r="M23" s="191"/>
      <c r="N23" s="191"/>
      <c r="O23" s="185"/>
      <c r="P23" s="184"/>
      <c r="Q23" s="191"/>
      <c r="R23" s="224"/>
      <c r="S23" s="225"/>
      <c r="T23" s="225"/>
      <c r="U23" s="185"/>
    </row>
    <row r="24">
      <c r="B24" s="11"/>
      <c r="C24" s="215" t="s">
        <v>1431</v>
      </c>
      <c r="D24" s="221"/>
      <c r="E24" s="184"/>
      <c r="F24" s="11"/>
      <c r="G24" s="73"/>
      <c r="H24" s="197" t="s">
        <v>1647</v>
      </c>
      <c r="L24" s="53"/>
      <c r="M24" s="191"/>
      <c r="N24" s="191"/>
      <c r="O24" s="185"/>
      <c r="P24" s="184"/>
      <c r="Q24" s="191"/>
      <c r="R24" s="224"/>
      <c r="S24" s="225"/>
      <c r="T24" s="225"/>
      <c r="U24" s="185"/>
    </row>
    <row r="25">
      <c r="B25" s="14"/>
      <c r="C25" s="215" t="s">
        <v>594</v>
      </c>
      <c r="D25" s="221"/>
      <c r="E25" s="184"/>
      <c r="F25" s="14"/>
      <c r="G25" s="73"/>
      <c r="H25" s="204" t="s">
        <v>1802</v>
      </c>
      <c r="L25" s="230"/>
      <c r="M25" s="191"/>
      <c r="N25" s="201"/>
      <c r="O25" s="185"/>
      <c r="P25" s="184"/>
      <c r="Q25" s="191"/>
      <c r="R25" s="224"/>
      <c r="S25" s="225"/>
      <c r="T25" s="225"/>
      <c r="U25" s="185"/>
    </row>
    <row r="26">
      <c r="B26" s="231" t="s">
        <v>1803</v>
      </c>
      <c r="C26" s="232"/>
      <c r="D26" s="202" t="s">
        <v>1804</v>
      </c>
      <c r="E26" s="184"/>
      <c r="F26" s="233" t="s">
        <v>1774</v>
      </c>
      <c r="G26" s="234">
        <v>17.0</v>
      </c>
      <c r="H26" s="234">
        <v>8.0</v>
      </c>
      <c r="J26" s="229"/>
      <c r="K26" s="235"/>
      <c r="L26" s="235"/>
    </row>
    <row r="27">
      <c r="B27" s="11"/>
      <c r="C27" s="232"/>
      <c r="D27" s="194"/>
      <c r="E27" s="184"/>
    </row>
    <row r="28">
      <c r="B28" s="14"/>
      <c r="C28" s="232"/>
      <c r="D28" s="194"/>
      <c r="E28" s="184"/>
    </row>
    <row r="29">
      <c r="B29" s="208" t="s">
        <v>1774</v>
      </c>
      <c r="C29" s="236">
        <f>COUNTA(C4:C28)</f>
        <v>22</v>
      </c>
      <c r="D29" s="237">
        <v>6.0</v>
      </c>
      <c r="E29" s="184"/>
    </row>
    <row r="30">
      <c r="E30" s="184"/>
      <c r="F30" s="184"/>
      <c r="G30" s="184"/>
      <c r="H30" s="184"/>
    </row>
    <row r="31">
      <c r="B31" s="238"/>
      <c r="C31" s="53" t="s">
        <v>1805</v>
      </c>
      <c r="E31" s="184"/>
      <c r="F31" s="184"/>
      <c r="G31" s="184"/>
      <c r="H31" s="184"/>
    </row>
    <row r="32">
      <c r="E32" s="184"/>
      <c r="F32" s="184"/>
      <c r="G32" s="184"/>
      <c r="H32" s="184"/>
    </row>
    <row r="33">
      <c r="E33" s="184"/>
      <c r="F33" s="184"/>
      <c r="G33" s="184"/>
      <c r="H33" s="184"/>
    </row>
  </sheetData>
  <mergeCells count="14">
    <mergeCell ref="B9:B14"/>
    <mergeCell ref="B15:B18"/>
    <mergeCell ref="F17:F22"/>
    <mergeCell ref="B19:B25"/>
    <mergeCell ref="F23:F25"/>
    <mergeCell ref="J23:J25"/>
    <mergeCell ref="B26:B28"/>
    <mergeCell ref="B2:D2"/>
    <mergeCell ref="F2:H2"/>
    <mergeCell ref="J2:L2"/>
    <mergeCell ref="Q2:T2"/>
    <mergeCell ref="B4:B8"/>
    <mergeCell ref="F4:F11"/>
    <mergeCell ref="F12:F16"/>
  </mergeCells>
  <hyperlinks>
    <hyperlink r:id="rId1" ref="A3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39" t="s">
        <v>43</v>
      </c>
      <c r="B1" s="240" t="s">
        <v>44</v>
      </c>
      <c r="C1" s="240" t="s">
        <v>1</v>
      </c>
      <c r="D1" s="240" t="s">
        <v>3</v>
      </c>
      <c r="E1" s="240" t="s">
        <v>45</v>
      </c>
      <c r="F1" s="240" t="s">
        <v>46</v>
      </c>
      <c r="G1" s="240" t="s">
        <v>1806</v>
      </c>
      <c r="H1" s="240" t="s">
        <v>48</v>
      </c>
      <c r="I1" s="240" t="s">
        <v>49</v>
      </c>
      <c r="J1" s="240" t="s">
        <v>50</v>
      </c>
      <c r="K1" s="240" t="s">
        <v>51</v>
      </c>
      <c r="L1" s="240" t="s">
        <v>52</v>
      </c>
      <c r="M1" s="240" t="s">
        <v>53</v>
      </c>
      <c r="N1" s="240" t="s">
        <v>54</v>
      </c>
      <c r="O1" s="240" t="s">
        <v>1807</v>
      </c>
      <c r="P1" s="240" t="s">
        <v>56</v>
      </c>
      <c r="Q1" s="240" t="s">
        <v>57</v>
      </c>
      <c r="R1" s="240" t="s">
        <v>58</v>
      </c>
      <c r="S1" s="241" t="s">
        <v>59</v>
      </c>
    </row>
    <row r="2">
      <c r="A2" s="242">
        <v>46206.85518787037</v>
      </c>
      <c r="B2" s="243">
        <v>46206.0</v>
      </c>
      <c r="C2" s="244" t="s">
        <v>16</v>
      </c>
      <c r="D2" s="244" t="s">
        <v>33</v>
      </c>
      <c r="E2" s="244" t="s">
        <v>1212</v>
      </c>
      <c r="F2" s="244" t="s">
        <v>1213</v>
      </c>
      <c r="G2" s="245" t="s">
        <v>1214</v>
      </c>
      <c r="H2" s="244">
        <v>10.0</v>
      </c>
      <c r="I2" s="246"/>
      <c r="J2" s="244">
        <v>0.0</v>
      </c>
      <c r="K2" s="244">
        <v>0.0</v>
      </c>
      <c r="L2" s="245" t="s">
        <v>1215</v>
      </c>
      <c r="M2" s="244">
        <v>0.0</v>
      </c>
      <c r="N2" s="244">
        <v>0.0</v>
      </c>
      <c r="O2" s="245" t="s">
        <v>1216</v>
      </c>
      <c r="P2" s="244">
        <v>0.0</v>
      </c>
      <c r="Q2" s="246"/>
      <c r="R2" s="246"/>
      <c r="S2" s="247"/>
    </row>
    <row r="3">
      <c r="A3" s="242">
        <v>46203.69421744213</v>
      </c>
      <c r="B3" s="243">
        <v>46203.0</v>
      </c>
      <c r="C3" s="244" t="s">
        <v>16</v>
      </c>
      <c r="D3" s="244" t="s">
        <v>33</v>
      </c>
      <c r="E3" s="244" t="s">
        <v>1212</v>
      </c>
      <c r="F3" s="244" t="s">
        <v>1217</v>
      </c>
      <c r="G3" s="245" t="s">
        <v>1218</v>
      </c>
      <c r="H3" s="244">
        <v>10.0</v>
      </c>
      <c r="I3" s="246"/>
      <c r="J3" s="244">
        <v>3.0</v>
      </c>
      <c r="K3" s="244">
        <v>0.0</v>
      </c>
      <c r="L3" s="245" t="s">
        <v>1219</v>
      </c>
      <c r="M3" s="244" t="s">
        <v>1220</v>
      </c>
      <c r="N3" s="244">
        <v>0.0</v>
      </c>
      <c r="O3" s="245" t="s">
        <v>1221</v>
      </c>
      <c r="P3" s="244">
        <v>3.0</v>
      </c>
      <c r="Q3" s="246"/>
      <c r="R3" s="246"/>
      <c r="S3" s="247"/>
    </row>
    <row r="4">
      <c r="A4" s="242">
        <v>46204.734382615745</v>
      </c>
      <c r="B4" s="243">
        <v>46204.0</v>
      </c>
      <c r="C4" s="244" t="s">
        <v>16</v>
      </c>
      <c r="D4" s="244" t="s">
        <v>33</v>
      </c>
      <c r="E4" s="244" t="s">
        <v>1212</v>
      </c>
      <c r="F4" s="244" t="s">
        <v>1213</v>
      </c>
      <c r="G4" s="245" t="s">
        <v>1222</v>
      </c>
      <c r="H4" s="244">
        <v>5.0</v>
      </c>
      <c r="I4" s="246"/>
      <c r="J4" s="244">
        <v>2.0</v>
      </c>
      <c r="K4" s="244">
        <v>0.0</v>
      </c>
      <c r="L4" s="245" t="s">
        <v>1223</v>
      </c>
      <c r="M4" s="244" t="s">
        <v>1224</v>
      </c>
      <c r="N4" s="244">
        <v>0.0</v>
      </c>
      <c r="O4" s="245" t="s">
        <v>1225</v>
      </c>
      <c r="P4" s="244">
        <v>5.0</v>
      </c>
      <c r="Q4" s="246"/>
      <c r="R4" s="246"/>
      <c r="S4" s="247"/>
    </row>
    <row r="5">
      <c r="A5" s="242">
        <v>46205.88098391204</v>
      </c>
      <c r="B5" s="243">
        <v>46205.0</v>
      </c>
      <c r="C5" s="244" t="s">
        <v>16</v>
      </c>
      <c r="D5" s="244" t="s">
        <v>33</v>
      </c>
      <c r="E5" s="244" t="s">
        <v>1212</v>
      </c>
      <c r="F5" s="244" t="s">
        <v>1213</v>
      </c>
      <c r="G5" s="245" t="s">
        <v>1226</v>
      </c>
      <c r="H5" s="244">
        <v>5.0</v>
      </c>
      <c r="I5" s="246"/>
      <c r="J5" s="244">
        <v>3.0</v>
      </c>
      <c r="K5" s="244">
        <v>0.0</v>
      </c>
      <c r="L5" s="245" t="s">
        <v>1227</v>
      </c>
      <c r="M5" s="244" t="s">
        <v>1228</v>
      </c>
      <c r="N5" s="244">
        <v>0.0</v>
      </c>
      <c r="O5" s="245" t="s">
        <v>1229</v>
      </c>
      <c r="P5" s="244">
        <v>2.0</v>
      </c>
      <c r="Q5" s="246"/>
      <c r="R5" s="246"/>
      <c r="S5" s="247"/>
    </row>
  </sheetData>
  <hyperlinks>
    <hyperlink r:id="rId1" ref="G2"/>
    <hyperlink r:id="rId2" ref="L2"/>
    <hyperlink r:id="rId3" ref="O2"/>
    <hyperlink r:id="rId4" ref="G3"/>
    <hyperlink r:id="rId5" ref="L3"/>
    <hyperlink r:id="rId6" ref="O3"/>
    <hyperlink r:id="rId7" ref="G4"/>
    <hyperlink r:id="rId8" ref="L4"/>
    <hyperlink r:id="rId9" ref="O4"/>
    <hyperlink r:id="rId10" ref="G5"/>
    <hyperlink r:id="rId11" ref="L5"/>
    <hyperlink r:id="rId12" ref="O5"/>
  </hyperlinks>
  <drawing r:id="rId13"/>
  <tableParts count="1">
    <tablePart r:id="rId1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10.63"/>
    <col customWidth="1" min="2" max="2" width="8.63"/>
    <col customWidth="1" min="3" max="3" width="11.0"/>
    <col customWidth="1" min="4" max="4" width="24.75"/>
    <col customWidth="1" min="5" max="5" width="22.25"/>
    <col customWidth="1" min="6" max="6" width="28.0"/>
    <col customWidth="1" min="7" max="7" width="27.5"/>
    <col customWidth="1" min="8" max="8" width="23.75"/>
    <col customWidth="1" min="9" max="9" width="23.5"/>
    <col customWidth="1" min="18" max="19" width="15.38"/>
    <col customWidth="1" min="20" max="20" width="6.0"/>
  </cols>
  <sheetData>
    <row r="1">
      <c r="D1" s="190"/>
      <c r="E1" s="190"/>
      <c r="F1" s="190"/>
      <c r="G1" s="190"/>
      <c r="H1" s="248"/>
      <c r="J1" s="249"/>
      <c r="K1" s="249"/>
      <c r="L1" s="249"/>
      <c r="M1" s="249"/>
      <c r="N1" s="249"/>
      <c r="O1" s="249"/>
      <c r="P1" s="249"/>
      <c r="Q1" s="249"/>
    </row>
    <row r="2">
      <c r="D2" s="190"/>
      <c r="E2" s="190"/>
      <c r="F2" s="190"/>
      <c r="G2" s="190"/>
      <c r="H2" s="248"/>
      <c r="J2" s="250" t="s">
        <v>1738</v>
      </c>
      <c r="M2" s="251" t="s">
        <v>1739</v>
      </c>
      <c r="P2" s="252" t="s">
        <v>1808</v>
      </c>
      <c r="S2" s="253" t="s">
        <v>1809</v>
      </c>
    </row>
    <row r="3">
      <c r="D3" s="254"/>
      <c r="E3" s="254"/>
      <c r="F3" s="255"/>
      <c r="G3" s="255"/>
      <c r="H3" s="256" t="s">
        <v>2</v>
      </c>
      <c r="I3" s="256" t="s">
        <v>3</v>
      </c>
      <c r="J3" s="257" t="s">
        <v>1810</v>
      </c>
      <c r="K3" s="257" t="s">
        <v>1811</v>
      </c>
      <c r="L3" s="257" t="s">
        <v>1812</v>
      </c>
      <c r="M3" s="258" t="s">
        <v>1810</v>
      </c>
      <c r="N3" s="258" t="s">
        <v>1811</v>
      </c>
      <c r="O3" s="258" t="s">
        <v>1812</v>
      </c>
      <c r="P3" s="259" t="s">
        <v>1810</v>
      </c>
      <c r="Q3" s="259" t="s">
        <v>1811</v>
      </c>
      <c r="R3" s="259" t="s">
        <v>1812</v>
      </c>
      <c r="S3" s="260" t="s">
        <v>1813</v>
      </c>
    </row>
    <row r="4">
      <c r="D4" s="254"/>
      <c r="E4" s="254"/>
      <c r="F4" s="255"/>
      <c r="G4" s="255"/>
      <c r="H4" s="261" t="s">
        <v>1814</v>
      </c>
      <c r="I4" s="261" t="s">
        <v>10</v>
      </c>
      <c r="J4" s="262">
        <f t="shared" ref="J4:K4" si="1">SUMifs(J$12:J42,$C$12:$C42,$I4,$G$12:$G42,"true")</f>
        <v>3600</v>
      </c>
      <c r="K4" s="262">
        <f t="shared" si="1"/>
        <v>822</v>
      </c>
      <c r="L4" s="263">
        <f t="shared" ref="L4:L8" si="2">K4/J4</f>
        <v>0.2283333333</v>
      </c>
      <c r="M4" s="262">
        <f>SUMifs(M$12:M42,$C$12:$C42,$I4,$G$12:$G42,"true")</f>
        <v>1200</v>
      </c>
      <c r="N4" s="264">
        <f>SUMifs(N$12:N42,C$12:C42,$I4,G$12:G42,"true")</f>
        <v>7</v>
      </c>
      <c r="O4" s="263">
        <f t="shared" ref="O4:O8" si="3">N4/M4</f>
        <v>0.005833333333</v>
      </c>
      <c r="P4" s="262">
        <f>SUMifs(P$12:P42,$C$12:$C42,$I4,$G$12:$G42,"true")</f>
        <v>600</v>
      </c>
      <c r="Q4" s="264">
        <f>SUMifs(Q$12:Q42,C$12:C42,$I4,G$12:G42,"true")</f>
        <v>114</v>
      </c>
      <c r="R4" s="263">
        <f t="shared" ref="R4:R8" si="4">Q4/P4</f>
        <v>0.19</v>
      </c>
      <c r="S4" s="262">
        <f>SUMifs(S$12:S42,$C$12:$C42,$I4,$G$12:$G42,"true")</f>
        <v>155</v>
      </c>
    </row>
    <row r="5">
      <c r="D5" s="254"/>
      <c r="E5" s="254"/>
      <c r="F5" s="255"/>
      <c r="G5" s="255"/>
      <c r="H5" s="265" t="s">
        <v>14</v>
      </c>
      <c r="I5" s="265" t="s">
        <v>15</v>
      </c>
      <c r="J5" s="266">
        <f>SUMifs(J$12:J42,$C$12:$C42,$I5,$G$12:$G42,"true")</f>
        <v>3000</v>
      </c>
      <c r="K5" s="266">
        <f>SUMifs(K$12:K42,C$12:C42,$I5,G$12:G42,"true")</f>
        <v>622</v>
      </c>
      <c r="L5" s="267">
        <f t="shared" si="2"/>
        <v>0.2073333333</v>
      </c>
      <c r="M5" s="266">
        <f>SUMifs(M$12:M42,$C$12:$C42,$I5,$G$12:$G42,"true")</f>
        <v>1000</v>
      </c>
      <c r="N5" s="268">
        <f>SUMifs(N$12:N42,C$12:C42,$I5,G$12:G42,"true")</f>
        <v>69</v>
      </c>
      <c r="O5" s="267">
        <f t="shared" si="3"/>
        <v>0.069</v>
      </c>
      <c r="P5" s="266">
        <f>SUMifs(P$12:P42,$C$12:$C42,$I5,$G$12:$G42,"true")</f>
        <v>500</v>
      </c>
      <c r="Q5" s="268">
        <f>SUMifs(Q$12:Q42,C$12:C42,$I5,G$12:G42,"true")</f>
        <v>98</v>
      </c>
      <c r="R5" s="267">
        <f t="shared" si="4"/>
        <v>0.196</v>
      </c>
      <c r="S5" s="266">
        <f>SUMifs(S$12:S42,$C$12:$C42,$I5,$G$12:$G42,"true")</f>
        <v>251</v>
      </c>
    </row>
    <row r="6">
      <c r="D6" s="254"/>
      <c r="E6" s="254"/>
      <c r="F6" s="255"/>
      <c r="G6" s="255"/>
      <c r="H6" s="269" t="s">
        <v>1742</v>
      </c>
      <c r="I6" s="261" t="s">
        <v>18</v>
      </c>
      <c r="J6" s="262">
        <f>SUMifs(J$12:J42,$C$12:$C42,$I6,$G$12:$G42,"true")</f>
        <v>6000</v>
      </c>
      <c r="K6" s="262">
        <f>SUMifs(K$12:K42,C$12:C42,$I6,G$12:G42,"true")</f>
        <v>1756</v>
      </c>
      <c r="L6" s="263">
        <f t="shared" si="2"/>
        <v>0.2926666667</v>
      </c>
      <c r="M6" s="262">
        <f>SUMifs(M$12:M42,$C$12:$C42,$I6,$G$12:$G42,"true")</f>
        <v>2000</v>
      </c>
      <c r="N6" s="264">
        <f>SUMifs(N$12:N42,C$12:C42,$I6,G$12:G42,"true")</f>
        <v>327.5818182</v>
      </c>
      <c r="O6" s="263">
        <f t="shared" si="3"/>
        <v>0.1637909091</v>
      </c>
      <c r="P6" s="262">
        <f>SUMifs(P$12:P42,$C$12:$C42,$I6,$G$12:$G42,"true")</f>
        <v>1000</v>
      </c>
      <c r="Q6" s="264">
        <f>SUMifs(Q$12:Q42,C$12:C42,$I6,G$12:G42,"true")</f>
        <v>236.7090909</v>
      </c>
      <c r="R6" s="263">
        <f t="shared" si="4"/>
        <v>0.2367090909</v>
      </c>
      <c r="S6" s="262">
        <f>SUMifs(S$12:S42,$C$12:$C42,$I6,$G$12:$G42,"true")</f>
        <v>829.9454545</v>
      </c>
    </row>
    <row r="7">
      <c r="D7" s="254"/>
      <c r="E7" s="254"/>
      <c r="F7" s="255"/>
      <c r="G7" s="255"/>
      <c r="H7" s="265" t="s">
        <v>20</v>
      </c>
      <c r="I7" s="265" t="s">
        <v>21</v>
      </c>
      <c r="J7" s="266">
        <f>SUMifs(J$12:J42,$C$12:$C42,$I7,$G$12:$G42,"true")</f>
        <v>3000</v>
      </c>
      <c r="K7" s="266">
        <f>SUMifs(K$12:K42,C$12:C42,$I7,G$12:G42,"true")</f>
        <v>527</v>
      </c>
      <c r="L7" s="267">
        <f t="shared" si="2"/>
        <v>0.1756666667</v>
      </c>
      <c r="M7" s="266">
        <f>SUMifs(M$12:M42,$C$12:$C42,$I7,$G$12:$G42,"true")</f>
        <v>1000</v>
      </c>
      <c r="N7" s="268">
        <f>SUMifs(N$12:N42,C$12:C42,$I7,G$12:G42,"true")</f>
        <v>56</v>
      </c>
      <c r="O7" s="267">
        <f t="shared" si="3"/>
        <v>0.056</v>
      </c>
      <c r="P7" s="266">
        <f>SUMifs(P$12:P42,$C$12:$C42,$I7,$G$12:$G42,"true")</f>
        <v>500</v>
      </c>
      <c r="Q7" s="268">
        <f>SUMifs(Q$12:Q42,C$12:C42,$I7,G$12:G42,"true")</f>
        <v>92</v>
      </c>
      <c r="R7" s="267">
        <f t="shared" si="4"/>
        <v>0.184</v>
      </c>
      <c r="S7" s="266">
        <f>SUMifs(S$12:S42,$C$12:$C42,$I7,$G$12:$G42,"true")</f>
        <v>102</v>
      </c>
      <c r="U7" s="53" t="s">
        <v>1815</v>
      </c>
    </row>
    <row r="8">
      <c r="D8" s="254"/>
      <c r="E8" s="254"/>
      <c r="F8" s="255"/>
      <c r="G8" s="255"/>
      <c r="H8" s="270" t="s">
        <v>1816</v>
      </c>
      <c r="J8" s="271">
        <f t="shared" ref="J8:K8" si="5">sum(J4:J7)</f>
        <v>15600</v>
      </c>
      <c r="K8" s="271">
        <f t="shared" si="5"/>
        <v>3727</v>
      </c>
      <c r="L8" s="272">
        <f t="shared" si="2"/>
        <v>0.2389102564</v>
      </c>
      <c r="M8" s="271">
        <f t="shared" ref="M8:N8" si="6">sum(M4:M7)</f>
        <v>5200</v>
      </c>
      <c r="N8" s="273">
        <f t="shared" si="6"/>
        <v>459.5818182</v>
      </c>
      <c r="O8" s="272">
        <f t="shared" si="3"/>
        <v>0.08838111888</v>
      </c>
      <c r="P8" s="271">
        <f t="shared" ref="P8:Q8" si="7">sum(P4:P7)</f>
        <v>2600</v>
      </c>
      <c r="Q8" s="273">
        <f t="shared" si="7"/>
        <v>540.7090909</v>
      </c>
      <c r="R8" s="272">
        <f t="shared" si="4"/>
        <v>0.207965035</v>
      </c>
      <c r="S8" s="271">
        <f>sum(S4:S7)</f>
        <v>1337.945455</v>
      </c>
      <c r="U8" s="274">
        <v>46211.0</v>
      </c>
    </row>
    <row r="9">
      <c r="A9" s="275"/>
      <c r="B9" s="275"/>
      <c r="C9" s="190"/>
      <c r="D9" s="249"/>
      <c r="E9" s="249"/>
      <c r="F9" s="249"/>
      <c r="G9" s="254"/>
      <c r="H9" s="248"/>
      <c r="J9" s="276"/>
      <c r="K9" s="276"/>
      <c r="L9" s="276"/>
      <c r="M9" s="276"/>
      <c r="N9" s="276"/>
      <c r="O9" s="276"/>
      <c r="P9" s="276"/>
      <c r="Q9" s="276"/>
      <c r="R9" s="276"/>
      <c r="S9" s="276"/>
      <c r="T9" s="248"/>
      <c r="U9" s="248"/>
      <c r="V9" s="248"/>
      <c r="W9" s="248"/>
      <c r="X9" s="248"/>
    </row>
    <row r="10">
      <c r="A10" s="275"/>
      <c r="B10" s="275"/>
      <c r="C10" s="190"/>
      <c r="D10" s="249"/>
      <c r="E10" s="249"/>
      <c r="F10" s="249"/>
      <c r="G10" s="254"/>
      <c r="H10" s="248"/>
      <c r="J10" s="250" t="s">
        <v>1738</v>
      </c>
      <c r="M10" s="251" t="s">
        <v>1739</v>
      </c>
      <c r="P10" s="252" t="s">
        <v>1808</v>
      </c>
      <c r="S10" s="253" t="s">
        <v>1809</v>
      </c>
      <c r="T10" s="248"/>
      <c r="U10" s="277" t="s">
        <v>1817</v>
      </c>
    </row>
    <row r="11">
      <c r="A11" s="275"/>
      <c r="B11" s="275"/>
      <c r="C11" s="278" t="s">
        <v>1759</v>
      </c>
      <c r="D11" s="279" t="s">
        <v>1818</v>
      </c>
      <c r="E11" s="279" t="s">
        <v>1819</v>
      </c>
      <c r="F11" s="280" t="s">
        <v>1820</v>
      </c>
      <c r="G11" s="281" t="s">
        <v>1821</v>
      </c>
      <c r="H11" s="281" t="s">
        <v>1822</v>
      </c>
      <c r="I11" s="281" t="s">
        <v>1823</v>
      </c>
      <c r="J11" s="282" t="s">
        <v>1810</v>
      </c>
      <c r="K11" s="282" t="s">
        <v>1811</v>
      </c>
      <c r="L11" s="282" t="s">
        <v>1812</v>
      </c>
      <c r="M11" s="283" t="s">
        <v>1810</v>
      </c>
      <c r="N11" s="283" t="s">
        <v>1811</v>
      </c>
      <c r="O11" s="283" t="s">
        <v>1812</v>
      </c>
      <c r="P11" s="284" t="s">
        <v>1810</v>
      </c>
      <c r="Q11" s="284" t="s">
        <v>1811</v>
      </c>
      <c r="R11" s="284" t="s">
        <v>1812</v>
      </c>
      <c r="S11" s="285" t="s">
        <v>1813</v>
      </c>
      <c r="U11" s="286" t="s">
        <v>1824</v>
      </c>
      <c r="V11" s="286" t="s">
        <v>1825</v>
      </c>
      <c r="W11" s="286" t="s">
        <v>1826</v>
      </c>
      <c r="X11" s="286" t="s">
        <v>1809</v>
      </c>
    </row>
    <row r="12">
      <c r="A12" s="287">
        <v>1.0</v>
      </c>
      <c r="B12" s="287">
        <v>1.0</v>
      </c>
      <c r="C12" s="288" t="s">
        <v>10</v>
      </c>
      <c r="D12" s="197" t="s">
        <v>1827</v>
      </c>
      <c r="E12" s="73" t="str">
        <f t="array" ref="E12">xlookup(F12,'Form Responses 1'!E:E,'Form Responses 1'!F:F,"")</f>
        <v>Jogja card</v>
      </c>
      <c r="F12" s="289" t="s">
        <v>1365</v>
      </c>
      <c r="G12" s="290" t="b">
        <v>1</v>
      </c>
      <c r="H12" s="291">
        <v>46195.0</v>
      </c>
      <c r="I12" s="290">
        <f t="shared" ref="I12:I16" si="8">TODAY()-H12</f>
        <v>17</v>
      </c>
      <c r="J12" s="290">
        <v>600.0</v>
      </c>
      <c r="K12" s="292">
        <f>sumifs('Form Responses 1'!H:H,'Form Responses 1'!E:E,F12) </f>
        <v>218</v>
      </c>
      <c r="L12" s="293">
        <f t="shared" ref="L12:L42" si="9">K12/J12</f>
        <v>0.3633333333</v>
      </c>
      <c r="M12" s="290">
        <v>200.0</v>
      </c>
      <c r="N12" s="292">
        <f>sumifs('Form Responses 1'!K:K,'Form Responses 1'!E:E,F12) </f>
        <v>7</v>
      </c>
      <c r="O12" s="293">
        <f t="shared" ref="O12:O42" si="10">N12/M12</f>
        <v>0.035</v>
      </c>
      <c r="P12" s="290">
        <v>100.0</v>
      </c>
      <c r="Q12" s="292">
        <f>sumifs('Form Responses 1'!J:J,'Form Responses 1'!E:E,F12) </f>
        <v>49</v>
      </c>
      <c r="R12" s="293">
        <f t="shared" ref="R12:R42" si="11">Q12/P12</f>
        <v>0.49</v>
      </c>
      <c r="S12" s="294">
        <f>sumifs('Form Responses 1'!P:P,'Form Responses 1'!E:E,F12) </f>
        <v>59</v>
      </c>
      <c r="U12" s="73">
        <f>sumifs('Form Responses 1'!H:H,'Form Responses 1'!E:E,F12,'Form Responses 1'!$B:$B,$U$8) </f>
        <v>0</v>
      </c>
      <c r="V12" s="73">
        <f>sumifs('Form Responses 1'!K:K,'Form Responses 1'!E:E,F12,'Form Responses 1'!$B:$B,$U$8) </f>
        <v>0</v>
      </c>
      <c r="W12" s="73">
        <f>sumifs('Form Responses 1'!J:J,'Form Responses 1'!E:E,F12,'Form Responses 1'!$B:$B,$U$8) </f>
        <v>0</v>
      </c>
      <c r="X12" s="73">
        <f>sumifs('Form Responses 1'!P:P,'Form Responses 1'!E:E,F12,'Form Responses 1'!$B:$B,$U$8) </f>
        <v>0</v>
      </c>
      <c r="Z12" s="295"/>
      <c r="AA12" s="295"/>
      <c r="AB12" s="295"/>
    </row>
    <row r="13">
      <c r="A13" s="287">
        <v>2.0</v>
      </c>
      <c r="B13" s="287">
        <v>2.0</v>
      </c>
      <c r="C13" s="288" t="s">
        <v>10</v>
      </c>
      <c r="D13" s="296" t="s">
        <v>1828</v>
      </c>
      <c r="E13" s="73" t="str">
        <f t="array" ref="E13">xlookup(F13,'Form Responses 1'!E:E,'Form Responses 1'!F:F,"")</f>
        <v>SKA CELL</v>
      </c>
      <c r="F13" s="289" t="s">
        <v>825</v>
      </c>
      <c r="G13" s="290" t="b">
        <v>1</v>
      </c>
      <c r="H13" s="291">
        <v>46195.0</v>
      </c>
      <c r="I13" s="290">
        <f t="shared" si="8"/>
        <v>17</v>
      </c>
      <c r="J13" s="290">
        <v>600.0</v>
      </c>
      <c r="K13" s="292">
        <f>sumifs('Form Responses 1'!H:H,'Form Responses 1'!E:E,F13) </f>
        <v>176</v>
      </c>
      <c r="L13" s="293">
        <f t="shared" si="9"/>
        <v>0.2933333333</v>
      </c>
      <c r="M13" s="290">
        <v>200.0</v>
      </c>
      <c r="N13" s="292">
        <f>sumifs('Form Responses 1'!K:K,'Form Responses 1'!E:E,F13) </f>
        <v>0</v>
      </c>
      <c r="O13" s="293">
        <f t="shared" si="10"/>
        <v>0</v>
      </c>
      <c r="P13" s="290">
        <v>100.0</v>
      </c>
      <c r="Q13" s="292">
        <f>sumifs('Form Responses 1'!J:J,'Form Responses 1'!E:E,F13) </f>
        <v>34</v>
      </c>
      <c r="R13" s="293">
        <f t="shared" si="11"/>
        <v>0.34</v>
      </c>
      <c r="S13" s="294">
        <f>sumifs('Form Responses 1'!P:P,'Form Responses 1'!E:E,F13) </f>
        <v>42</v>
      </c>
      <c r="U13" s="73">
        <f>sumifs('Form Responses 1'!H:H,'Form Responses 1'!E:E,F13,'Form Responses 1'!$B:$B,$U$8) </f>
        <v>0</v>
      </c>
      <c r="V13" s="73">
        <f>sumifs('Form Responses 1'!K:K,'Form Responses 1'!E:E,F13,'Form Responses 1'!$B:$B,$U$8) </f>
        <v>0</v>
      </c>
      <c r="W13" s="73">
        <f>sumifs('Form Responses 1'!J:J,'Form Responses 1'!E:E,F13,'Form Responses 1'!$B:$B,$U$8) </f>
        <v>0</v>
      </c>
      <c r="X13" s="73">
        <f>sumifs('Form Responses 1'!P:P,'Form Responses 1'!E:E,F13,'Form Responses 1'!$B:$B,$U$8) </f>
        <v>0</v>
      </c>
      <c r="Z13" s="295"/>
      <c r="AA13" s="295"/>
      <c r="AB13" s="295"/>
    </row>
    <row r="14">
      <c r="A14" s="287">
        <v>3.0</v>
      </c>
      <c r="B14" s="287">
        <v>3.0</v>
      </c>
      <c r="C14" s="297" t="s">
        <v>10</v>
      </c>
      <c r="D14" s="296" t="s">
        <v>1829</v>
      </c>
      <c r="E14" s="73" t="str">
        <f t="array" ref="E14">xlookup(F14,'Form Responses 1'!E:E,'Form Responses 1'!F:F,"")</f>
        <v>Malioboro</v>
      </c>
      <c r="F14" s="289" t="s">
        <v>727</v>
      </c>
      <c r="G14" s="290" t="b">
        <v>1</v>
      </c>
      <c r="H14" s="291">
        <v>46200.0</v>
      </c>
      <c r="I14" s="290">
        <f t="shared" si="8"/>
        <v>12</v>
      </c>
      <c r="J14" s="290">
        <v>600.0</v>
      </c>
      <c r="K14" s="292">
        <f>sumifs('Form Responses 1'!H:H,'Form Responses 1'!E:E,F14) </f>
        <v>220</v>
      </c>
      <c r="L14" s="293">
        <f t="shared" si="9"/>
        <v>0.3666666667</v>
      </c>
      <c r="M14" s="290">
        <v>200.0</v>
      </c>
      <c r="N14" s="292">
        <f>sumifs('Form Responses 1'!K:K,'Form Responses 1'!E:E,F14) </f>
        <v>0</v>
      </c>
      <c r="O14" s="293">
        <f t="shared" si="10"/>
        <v>0</v>
      </c>
      <c r="P14" s="290">
        <v>100.0</v>
      </c>
      <c r="Q14" s="292">
        <f>sumifs('Form Responses 1'!J:J,'Form Responses 1'!E:E,F14) </f>
        <v>23</v>
      </c>
      <c r="R14" s="293">
        <f t="shared" si="11"/>
        <v>0.23</v>
      </c>
      <c r="S14" s="294">
        <f>sumifs('Form Responses 1'!P:P,'Form Responses 1'!E:E,F14) </f>
        <v>35</v>
      </c>
      <c r="U14" s="73">
        <f>sumifs('Form Responses 1'!H:H,'Form Responses 1'!E:E,F14,'Form Responses 1'!$B:$B,$U$8) </f>
        <v>0</v>
      </c>
      <c r="V14" s="73">
        <f>sumifs('Form Responses 1'!K:K,'Form Responses 1'!E:E,F14,'Form Responses 1'!$B:$B,$U$8) </f>
        <v>0</v>
      </c>
      <c r="W14" s="73">
        <f>sumifs('Form Responses 1'!J:J,'Form Responses 1'!E:E,F14,'Form Responses 1'!$B:$B,$U$8) </f>
        <v>0</v>
      </c>
      <c r="X14" s="73">
        <f>sumifs('Form Responses 1'!P:P,'Form Responses 1'!E:E,F14,'Form Responses 1'!$B:$B,$U$8) </f>
        <v>0</v>
      </c>
      <c r="Z14" s="295"/>
      <c r="AA14" s="295"/>
      <c r="AB14" s="295"/>
    </row>
    <row r="15">
      <c r="A15" s="287">
        <v>5.0</v>
      </c>
      <c r="B15" s="287">
        <v>4.0</v>
      </c>
      <c r="C15" s="297" t="s">
        <v>10</v>
      </c>
      <c r="D15" s="197" t="s">
        <v>1830</v>
      </c>
      <c r="E15" s="73" t="str">
        <f t="array" ref="E15">xlookup(F15,'Form Responses 1'!E:E,'Form Responses 1'!F:F,"")</f>
        <v>Public Cell</v>
      </c>
      <c r="F15" s="298" t="s">
        <v>1253</v>
      </c>
      <c r="G15" s="290" t="b">
        <v>1</v>
      </c>
      <c r="H15" s="291">
        <v>46202.0</v>
      </c>
      <c r="I15" s="290">
        <f t="shared" si="8"/>
        <v>10</v>
      </c>
      <c r="J15" s="290">
        <v>600.0</v>
      </c>
      <c r="K15" s="292">
        <f>sumifs('Form Responses 1'!H:H,'Form Responses 1'!E:E,F15) </f>
        <v>126</v>
      </c>
      <c r="L15" s="293">
        <f t="shared" si="9"/>
        <v>0.21</v>
      </c>
      <c r="M15" s="290">
        <v>200.0</v>
      </c>
      <c r="N15" s="292">
        <f>sumifs('Form Responses 1'!K:K,'Form Responses 1'!E:E,F15) </f>
        <v>0</v>
      </c>
      <c r="O15" s="293">
        <f t="shared" si="10"/>
        <v>0</v>
      </c>
      <c r="P15" s="290">
        <v>100.0</v>
      </c>
      <c r="Q15" s="292">
        <f>sumifs('Form Responses 1'!J:J,'Form Responses 1'!E:E,F15) </f>
        <v>8</v>
      </c>
      <c r="R15" s="293">
        <f t="shared" si="11"/>
        <v>0.08</v>
      </c>
      <c r="S15" s="294">
        <f>sumifs('Form Responses 1'!P:P,'Form Responses 1'!E:E,F15) </f>
        <v>8</v>
      </c>
      <c r="U15" s="73">
        <f>sumifs('Form Responses 1'!H:H,'Form Responses 1'!E:E,F15,'Form Responses 1'!$B:$B,$U$8) </f>
        <v>0</v>
      </c>
      <c r="V15" s="73">
        <f>sumifs('Form Responses 1'!K:K,'Form Responses 1'!E:E,F15,'Form Responses 1'!$B:$B,$U$8) </f>
        <v>0</v>
      </c>
      <c r="W15" s="73">
        <f>sumifs('Form Responses 1'!J:J,'Form Responses 1'!E:E,F15,'Form Responses 1'!$B:$B,$U$8) </f>
        <v>0</v>
      </c>
      <c r="X15" s="73">
        <f>sumifs('Form Responses 1'!P:P,'Form Responses 1'!E:E,F15,'Form Responses 1'!$B:$B,$U$8) </f>
        <v>0</v>
      </c>
      <c r="Z15" s="295"/>
      <c r="AA15" s="295"/>
      <c r="AB15" s="295"/>
    </row>
    <row r="16">
      <c r="A16" s="287">
        <v>6.0</v>
      </c>
      <c r="B16" s="287">
        <v>5.0</v>
      </c>
      <c r="C16" s="297" t="s">
        <v>10</v>
      </c>
      <c r="D16" s="296" t="s">
        <v>1828</v>
      </c>
      <c r="E16" s="73" t="str">
        <f t="array" ref="E16">xlookup(F16,'Form Responses 1'!E:E,'Form Responses 1'!F:F,"")</f>
        <v>SKA CELL</v>
      </c>
      <c r="F16" s="289" t="s">
        <v>1775</v>
      </c>
      <c r="G16" s="290" t="b">
        <v>1</v>
      </c>
      <c r="H16" s="291">
        <v>46204.0</v>
      </c>
      <c r="I16" s="290">
        <f t="shared" si="8"/>
        <v>8</v>
      </c>
      <c r="J16" s="290">
        <v>600.0</v>
      </c>
      <c r="K16" s="292">
        <f>sumifs('Form Responses 1'!H:H,'Form Responses 1'!E:E,F16) </f>
        <v>74</v>
      </c>
      <c r="L16" s="293">
        <f t="shared" si="9"/>
        <v>0.1233333333</v>
      </c>
      <c r="M16" s="290">
        <v>200.0</v>
      </c>
      <c r="N16" s="292">
        <f>sumifs('Form Responses 1'!I:I,'Form Responses 1'!F:F,G16) </f>
        <v>0</v>
      </c>
      <c r="O16" s="293">
        <f t="shared" si="10"/>
        <v>0</v>
      </c>
      <c r="P16" s="290">
        <v>100.0</v>
      </c>
      <c r="Q16" s="292">
        <f>sumifs('Form Responses 1'!J:J,'Form Responses 1'!G:G,H16) </f>
        <v>0</v>
      </c>
      <c r="R16" s="293">
        <f t="shared" si="11"/>
        <v>0</v>
      </c>
      <c r="S16" s="294">
        <f>sumifs('Form Responses 1'!P:P,'Form Responses 1'!E:E,F16) </f>
        <v>7</v>
      </c>
      <c r="U16" s="73">
        <f>sumifs('Form Responses 1'!H:H,'Form Responses 1'!E:E,F16,'Form Responses 1'!$B:$B,$U$8) </f>
        <v>0</v>
      </c>
      <c r="V16" s="73">
        <f>sumifs('Form Responses 1'!K:K,'Form Responses 1'!E:E,F16,'Form Responses 1'!$B:$B,$U$8) </f>
        <v>0</v>
      </c>
      <c r="W16" s="73">
        <f>sumifs('Form Responses 1'!J:J,'Form Responses 1'!E:E,F16,'Form Responses 1'!$B:$B,$U$8) </f>
        <v>0</v>
      </c>
      <c r="X16" s="73">
        <f>sumifs('Form Responses 1'!P:P,'Form Responses 1'!E:E,F16,'Form Responses 1'!$B:$B,$U$8) </f>
        <v>0</v>
      </c>
      <c r="Z16" s="295"/>
      <c r="AA16" s="295"/>
      <c r="AB16" s="295"/>
    </row>
    <row r="17">
      <c r="A17" s="287"/>
      <c r="B17" s="287">
        <v>6.0</v>
      </c>
      <c r="C17" s="297" t="s">
        <v>10</v>
      </c>
      <c r="D17" s="299"/>
      <c r="E17" s="300"/>
      <c r="F17" s="53" t="s">
        <v>1293</v>
      </c>
      <c r="G17" s="301" t="b">
        <v>1</v>
      </c>
      <c r="H17" s="291">
        <v>46210.0</v>
      </c>
      <c r="I17" s="301"/>
      <c r="J17" s="290">
        <v>600.0</v>
      </c>
      <c r="K17" s="292">
        <f>sumifs('Form Responses 1'!H:H,'Form Responses 1'!E:E,F17) </f>
        <v>8</v>
      </c>
      <c r="L17" s="293">
        <f t="shared" si="9"/>
        <v>0.01333333333</v>
      </c>
      <c r="M17" s="290">
        <v>200.0</v>
      </c>
      <c r="N17" s="292">
        <f>sumifs('Form Responses 1'!I:I,'Form Responses 1'!F:F,G17) </f>
        <v>0</v>
      </c>
      <c r="O17" s="293">
        <f t="shared" si="10"/>
        <v>0</v>
      </c>
      <c r="P17" s="290">
        <v>100.0</v>
      </c>
      <c r="Q17" s="292">
        <f>sumifs('Form Responses 1'!J:J,'Form Responses 1'!G:G,H17) </f>
        <v>0</v>
      </c>
      <c r="R17" s="293">
        <f t="shared" si="11"/>
        <v>0</v>
      </c>
      <c r="S17" s="294">
        <f>sumifs('Form Responses 1'!P:P,'Form Responses 1'!E:E,F17) </f>
        <v>4</v>
      </c>
      <c r="U17" s="73">
        <f>sumifs('Form Responses 1'!H:H,'Form Responses 1'!E:E,F17,'Form Responses 1'!$B:$B,$U$8) </f>
        <v>5</v>
      </c>
      <c r="V17" s="73">
        <f>sumifs('Form Responses 1'!K:K,'Form Responses 1'!E:E,F17,'Form Responses 1'!$B:$B,$U$8) </f>
        <v>1</v>
      </c>
      <c r="W17" s="73">
        <f>sumifs('Form Responses 1'!J:J,'Form Responses 1'!E:E,F17,'Form Responses 1'!$B:$B,$U$8) </f>
        <v>0</v>
      </c>
      <c r="X17" s="73">
        <f>sumifs('Form Responses 1'!P:P,'Form Responses 1'!E:E,F17,'Form Responses 1'!$B:$B,$U$8) </f>
        <v>2</v>
      </c>
      <c r="Z17" s="295"/>
      <c r="AA17" s="295"/>
      <c r="AB17" s="295"/>
    </row>
    <row r="18">
      <c r="A18" s="287"/>
      <c r="B18" s="287">
        <v>7.0</v>
      </c>
      <c r="C18" s="297" t="s">
        <v>10</v>
      </c>
      <c r="D18" s="299"/>
      <c r="E18" s="300"/>
      <c r="F18" s="302" t="s">
        <v>1765</v>
      </c>
      <c r="G18" s="301" t="b">
        <v>0</v>
      </c>
      <c r="H18" s="294" t="s">
        <v>1831</v>
      </c>
      <c r="I18" s="301"/>
      <c r="J18" s="290">
        <v>600.0</v>
      </c>
      <c r="K18" s="292">
        <f>sumifs('Form Responses 1'!H:H,'Form Responses 1'!E:E,F18) </f>
        <v>0</v>
      </c>
      <c r="L18" s="293">
        <f t="shared" si="9"/>
        <v>0</v>
      </c>
      <c r="M18" s="290">
        <v>200.0</v>
      </c>
      <c r="N18" s="292">
        <f>sumifs('Form Responses 1'!I:I,'Form Responses 1'!F:F,G18) </f>
        <v>0</v>
      </c>
      <c r="O18" s="293">
        <f t="shared" si="10"/>
        <v>0</v>
      </c>
      <c r="P18" s="290">
        <v>100.0</v>
      </c>
      <c r="Q18" s="292">
        <f>sumifs('Form Responses 1'!J:J,'Form Responses 1'!G:G,H18) </f>
        <v>0</v>
      </c>
      <c r="R18" s="293">
        <f t="shared" si="11"/>
        <v>0</v>
      </c>
      <c r="S18" s="294">
        <f>sumifs('Form Responses 1'!P:P,'Form Responses 1'!E:E,F18) </f>
        <v>0</v>
      </c>
      <c r="U18" s="73">
        <f>sumifs('Form Responses 1'!H:H,'Form Responses 1'!E:E,F18,'Form Responses 1'!$B:$B,$U$8) </f>
        <v>0</v>
      </c>
      <c r="V18" s="73">
        <f>sumifs('Form Responses 1'!K:K,'Form Responses 1'!E:E,F18,'Form Responses 1'!$B:$B,$U$8) </f>
        <v>0</v>
      </c>
      <c r="W18" s="73">
        <f>sumifs('Form Responses 1'!J:J,'Form Responses 1'!E:E,F18,'Form Responses 1'!$B:$B,$U$8) </f>
        <v>0</v>
      </c>
      <c r="X18" s="73">
        <f>sumifs('Form Responses 1'!P:P,'Form Responses 1'!E:E,F18,'Form Responses 1'!$B:$B,$U$8) </f>
        <v>0</v>
      </c>
      <c r="Z18" s="295"/>
      <c r="AA18" s="295"/>
      <c r="AB18" s="295"/>
    </row>
    <row r="19">
      <c r="A19" s="287"/>
      <c r="B19" s="287">
        <v>8.0</v>
      </c>
      <c r="C19" s="297" t="s">
        <v>10</v>
      </c>
      <c r="D19" s="299"/>
      <c r="E19" s="300"/>
      <c r="F19" s="302" t="s">
        <v>1769</v>
      </c>
      <c r="G19" s="301" t="b">
        <v>0</v>
      </c>
      <c r="H19" s="294" t="s">
        <v>1831</v>
      </c>
      <c r="I19" s="301"/>
      <c r="J19" s="290">
        <v>600.0</v>
      </c>
      <c r="K19" s="292">
        <f>sumifs('Form Responses 1'!H:H,'Form Responses 1'!E:E,F19) </f>
        <v>0</v>
      </c>
      <c r="L19" s="293">
        <f t="shared" si="9"/>
        <v>0</v>
      </c>
      <c r="M19" s="290">
        <v>200.0</v>
      </c>
      <c r="N19" s="292">
        <f>sumifs('Form Responses 1'!I:I,'Form Responses 1'!F:F,G19) </f>
        <v>0</v>
      </c>
      <c r="O19" s="293">
        <f t="shared" si="10"/>
        <v>0</v>
      </c>
      <c r="P19" s="290">
        <v>100.0</v>
      </c>
      <c r="Q19" s="292">
        <f>sumifs('Form Responses 1'!J:J,'Form Responses 1'!G:G,H19) </f>
        <v>0</v>
      </c>
      <c r="R19" s="293">
        <f t="shared" si="11"/>
        <v>0</v>
      </c>
      <c r="S19" s="294">
        <f>sumifs('Form Responses 1'!P:P,'Form Responses 1'!E:E,F19) </f>
        <v>0</v>
      </c>
      <c r="U19" s="73">
        <f>sumifs('Form Responses 1'!H:H,'Form Responses 1'!E:E,F19,'Form Responses 1'!$B:$B,$U$8) </f>
        <v>0</v>
      </c>
      <c r="V19" s="73">
        <f>sumifs('Form Responses 1'!K:K,'Form Responses 1'!E:E,F19,'Form Responses 1'!$B:$B,$U$8) </f>
        <v>0</v>
      </c>
      <c r="W19" s="73">
        <f>sumifs('Form Responses 1'!J:J,'Form Responses 1'!E:E,F19,'Form Responses 1'!$B:$B,$U$8) </f>
        <v>0</v>
      </c>
      <c r="X19" s="73">
        <f>sumifs('Form Responses 1'!P:P,'Form Responses 1'!E:E,F19,'Form Responses 1'!$B:$B,$U$8) </f>
        <v>0</v>
      </c>
      <c r="Z19" s="295"/>
      <c r="AA19" s="295"/>
      <c r="AB19" s="295"/>
    </row>
    <row r="20">
      <c r="A20" s="287">
        <v>1.0</v>
      </c>
      <c r="B20" s="287">
        <v>9.0</v>
      </c>
      <c r="C20" s="303" t="s">
        <v>18</v>
      </c>
      <c r="D20" s="304" t="s">
        <v>1832</v>
      </c>
      <c r="E20" s="300" t="str">
        <f t="array" ref="E20">xlookup(F20,'Form Responses 1'!E:E,'Form Responses 1'!F:F,"")</f>
        <v>Graha Komunika</v>
      </c>
      <c r="F20" s="305" t="s">
        <v>908</v>
      </c>
      <c r="G20" s="301" t="b">
        <v>1</v>
      </c>
      <c r="H20" s="306">
        <v>46198.0</v>
      </c>
      <c r="I20" s="301">
        <f t="shared" ref="I20:I24" si="12">TODAY()-H20</f>
        <v>14</v>
      </c>
      <c r="J20" s="290">
        <v>600.0</v>
      </c>
      <c r="K20" s="307">
        <f>sumifs('Form Responses 1'!H:H,'Form Responses 1'!E:E,F20) </f>
        <v>280</v>
      </c>
      <c r="L20" s="308">
        <f t="shared" si="9"/>
        <v>0.4666666667</v>
      </c>
      <c r="M20" s="301">
        <v>200.0</v>
      </c>
      <c r="N20" s="307">
        <f>sumifs('Form Responses 1'!K:K,'Form Responses 1'!E:E,F20) </f>
        <v>39</v>
      </c>
      <c r="O20" s="308">
        <f t="shared" si="10"/>
        <v>0.195</v>
      </c>
      <c r="P20" s="301">
        <v>100.0</v>
      </c>
      <c r="Q20" s="307">
        <f>sumifs('Form Responses 1'!J:J,'Form Responses 1'!E:E,F20) </f>
        <v>45</v>
      </c>
      <c r="R20" s="308">
        <f t="shared" si="11"/>
        <v>0.45</v>
      </c>
      <c r="S20" s="309">
        <f>sumifs('Form Responses 1'!P:P,'Form Responses 1'!E:E,F20) </f>
        <v>113</v>
      </c>
      <c r="U20" s="73">
        <f>sumifs('Form Responses 1'!H:H,'Form Responses 1'!E:E,F20,'Form Responses 1'!$B:$B,$U$8) </f>
        <v>0</v>
      </c>
      <c r="V20" s="73">
        <f>sumifs('Form Responses 1'!K:K,'Form Responses 1'!E:E,F20,'Form Responses 1'!$B:$B,$U$8) </f>
        <v>0</v>
      </c>
      <c r="W20" s="73">
        <f>sumifs('Form Responses 1'!J:J,'Form Responses 1'!E:E,F20,'Form Responses 1'!$B:$B,$U$8) </f>
        <v>0</v>
      </c>
      <c r="X20" s="73">
        <f>sumifs('Form Responses 1'!P:P,'Form Responses 1'!E:E,F20,'Form Responses 1'!$B:$B,$U$8) </f>
        <v>0</v>
      </c>
      <c r="Z20" s="295"/>
      <c r="AA20" s="295"/>
      <c r="AB20" s="295"/>
    </row>
    <row r="21">
      <c r="A21" s="310">
        <v>2.0</v>
      </c>
      <c r="B21" s="287">
        <v>10.0</v>
      </c>
      <c r="C21" s="311" t="s">
        <v>18</v>
      </c>
      <c r="D21" s="312" t="s">
        <v>1833</v>
      </c>
      <c r="E21" s="73" t="str">
        <f t="array" ref="E21">xlookup(F21,'Form Responses 1'!E:E,'Form Responses 1'!F:F,"")</f>
        <v>Amos Cell</v>
      </c>
      <c r="F21" s="289" t="s">
        <v>641</v>
      </c>
      <c r="G21" s="290" t="b">
        <v>1</v>
      </c>
      <c r="H21" s="291">
        <v>46196.0</v>
      </c>
      <c r="I21" s="290">
        <f t="shared" si="12"/>
        <v>16</v>
      </c>
      <c r="J21" s="290">
        <v>600.0</v>
      </c>
      <c r="K21" s="292">
        <f>sumifs('Form Responses 1'!H:H,'Form Responses 1'!E:E,F21) </f>
        <v>272</v>
      </c>
      <c r="L21" s="293">
        <f t="shared" si="9"/>
        <v>0.4533333333</v>
      </c>
      <c r="M21" s="290">
        <v>200.0</v>
      </c>
      <c r="N21" s="292">
        <f>sumifs('Form Responses 1'!K:K,'Form Responses 1'!E:E,F21) </f>
        <v>43</v>
      </c>
      <c r="O21" s="293">
        <f t="shared" si="10"/>
        <v>0.215</v>
      </c>
      <c r="P21" s="290">
        <v>100.0</v>
      </c>
      <c r="Q21" s="292">
        <f>sumifs('Form Responses 1'!J:J,'Form Responses 1'!E:E,F21) </f>
        <v>36</v>
      </c>
      <c r="R21" s="293">
        <f t="shared" si="11"/>
        <v>0.36</v>
      </c>
      <c r="S21" s="294">
        <f>sumifs('Form Responses 1'!P:P,'Form Responses 1'!E:E,F21) </f>
        <v>148</v>
      </c>
      <c r="U21" s="73">
        <f>sumifs('Form Responses 1'!H:H,'Form Responses 1'!E:E,F21,'Form Responses 1'!$B:$B,$U$8) </f>
        <v>23</v>
      </c>
      <c r="V21" s="73">
        <f>sumifs('Form Responses 1'!K:K,'Form Responses 1'!E:E,F21,'Form Responses 1'!$B:$B,$U$8) </f>
        <v>6</v>
      </c>
      <c r="W21" s="73">
        <f>sumifs('Form Responses 1'!J:J,'Form Responses 1'!E:E,F21,'Form Responses 1'!$B:$B,$U$8) </f>
        <v>0</v>
      </c>
      <c r="X21" s="73">
        <f>sumifs('Form Responses 1'!P:P,'Form Responses 1'!E:E,F21,'Form Responses 1'!$B:$B,$U$8) </f>
        <v>16</v>
      </c>
      <c r="Z21" s="295"/>
      <c r="AA21" s="295"/>
      <c r="AB21" s="295"/>
    </row>
    <row r="22">
      <c r="A22" s="287">
        <v>3.0</v>
      </c>
      <c r="B22" s="287">
        <v>11.0</v>
      </c>
      <c r="C22" s="313" t="s">
        <v>18</v>
      </c>
      <c r="D22" s="312" t="s">
        <v>1834</v>
      </c>
      <c r="E22" s="73" t="str">
        <f t="array" ref="E22">xlookup(F22,'Form Responses 1'!E:E,'Form Responses 1'!F:F,"")</f>
        <v>Hi bizz</v>
      </c>
      <c r="F22" s="289" t="s">
        <v>1511</v>
      </c>
      <c r="G22" s="290" t="b">
        <v>1</v>
      </c>
      <c r="H22" s="291">
        <v>46196.0</v>
      </c>
      <c r="I22" s="290">
        <f t="shared" si="12"/>
        <v>16</v>
      </c>
      <c r="J22" s="290">
        <v>600.0</v>
      </c>
      <c r="K22" s="292">
        <f>sumifs('Form Responses 1'!H:H,'Form Responses 1'!E:E,F22) </f>
        <v>388</v>
      </c>
      <c r="L22" s="293">
        <f t="shared" si="9"/>
        <v>0.6466666667</v>
      </c>
      <c r="M22" s="290">
        <v>200.0</v>
      </c>
      <c r="N22" s="292">
        <f>sumifs('Form Responses 1'!K:K,'Form Responses 1'!E:E,F22) </f>
        <v>23</v>
      </c>
      <c r="O22" s="293">
        <f t="shared" si="10"/>
        <v>0.115</v>
      </c>
      <c r="P22" s="290">
        <v>100.0</v>
      </c>
      <c r="Q22" s="292">
        <f>sumifs('Form Responses 1'!J:J,'Form Responses 1'!E:E,F22) </f>
        <v>60</v>
      </c>
      <c r="R22" s="293">
        <f t="shared" si="11"/>
        <v>0.6</v>
      </c>
      <c r="S22" s="294">
        <f>sumifs('Form Responses 1'!P:P,'Form Responses 1'!E:E,F22) </f>
        <v>145</v>
      </c>
      <c r="U22" s="73">
        <f>sumifs('Form Responses 1'!H:H,'Form Responses 1'!E:E,F22,'Form Responses 1'!$B:$B,$U$8) </f>
        <v>25</v>
      </c>
      <c r="V22" s="73">
        <f>sumifs('Form Responses 1'!K:K,'Form Responses 1'!E:E,F22,'Form Responses 1'!$B:$B,$U$8) </f>
        <v>3</v>
      </c>
      <c r="W22" s="73">
        <f>sumifs('Form Responses 1'!J:J,'Form Responses 1'!E:E,F22,'Form Responses 1'!$B:$B,$U$8) </f>
        <v>3</v>
      </c>
      <c r="X22" s="73">
        <f>sumifs('Form Responses 1'!P:P,'Form Responses 1'!E:E,F22,'Form Responses 1'!$B:$B,$U$8) </f>
        <v>13</v>
      </c>
      <c r="Z22" s="295"/>
      <c r="AA22" s="295"/>
      <c r="AB22" s="295"/>
    </row>
    <row r="23">
      <c r="A23" s="287">
        <v>4.0</v>
      </c>
      <c r="B23" s="287">
        <v>12.0</v>
      </c>
      <c r="C23" s="314" t="s">
        <v>18</v>
      </c>
      <c r="D23" s="312" t="s">
        <v>1835</v>
      </c>
      <c r="E23" s="73" t="str">
        <f t="array" ref="E23">xlookup(F23,'Form Responses 1'!E:E,'Form Responses 1'!F:F,"")</f>
        <v>Amos cell</v>
      </c>
      <c r="F23" s="289" t="s">
        <v>553</v>
      </c>
      <c r="G23" s="290" t="b">
        <v>1</v>
      </c>
      <c r="H23" s="291">
        <v>46203.0</v>
      </c>
      <c r="I23" s="290">
        <f t="shared" si="12"/>
        <v>9</v>
      </c>
      <c r="J23" s="290">
        <v>600.0</v>
      </c>
      <c r="K23" s="292">
        <f>sumifs('Form Responses 1'!H:H,'Form Responses 1'!E:E,F23) </f>
        <v>125</v>
      </c>
      <c r="L23" s="293">
        <f t="shared" si="9"/>
        <v>0.2083333333</v>
      </c>
      <c r="M23" s="290">
        <v>200.0</v>
      </c>
      <c r="N23" s="292">
        <f>sumifs('Form Responses 1'!K:K,'Form Responses 1'!E:E,F23) </f>
        <v>65</v>
      </c>
      <c r="O23" s="293">
        <f t="shared" si="10"/>
        <v>0.325</v>
      </c>
      <c r="P23" s="290">
        <v>100.0</v>
      </c>
      <c r="Q23" s="292">
        <f>sumifs('Form Responses 1'!J:J,'Form Responses 1'!E:E,F23) </f>
        <v>15</v>
      </c>
      <c r="R23" s="293">
        <f t="shared" si="11"/>
        <v>0.15</v>
      </c>
      <c r="S23" s="294">
        <f>sumifs('Form Responses 1'!P:P,'Form Responses 1'!E:E,F23) </f>
        <v>54</v>
      </c>
      <c r="U23" s="73">
        <f>sumifs('Form Responses 1'!H:H,'Form Responses 1'!E:E,F23,'Form Responses 1'!$B:$B,$U$8) </f>
        <v>25</v>
      </c>
      <c r="V23" s="73">
        <f>sumifs('Form Responses 1'!K:K,'Form Responses 1'!E:E,F23,'Form Responses 1'!$B:$B,$U$8) </f>
        <v>20</v>
      </c>
      <c r="W23" s="73">
        <f>sumifs('Form Responses 1'!J:J,'Form Responses 1'!E:E,F23,'Form Responses 1'!$B:$B,$U$8) </f>
        <v>1</v>
      </c>
      <c r="X23" s="73">
        <f>sumifs('Form Responses 1'!P:P,'Form Responses 1'!E:E,F23,'Form Responses 1'!$B:$B,$U$8) </f>
        <v>12</v>
      </c>
      <c r="Z23" s="295"/>
      <c r="AA23" s="295"/>
      <c r="AB23" s="295"/>
    </row>
    <row r="24">
      <c r="A24" s="287">
        <v>5.0</v>
      </c>
      <c r="B24" s="287">
        <v>13.0</v>
      </c>
      <c r="C24" s="314" t="s">
        <v>18</v>
      </c>
      <c r="D24" s="312" t="s">
        <v>1836</v>
      </c>
      <c r="E24" s="73" t="str">
        <f t="array" ref="E24">xlookup(F24,'Form Responses 1'!E:E,'Form Responses 1'!F:F,"")</f>
        <v>Hibizz</v>
      </c>
      <c r="F24" s="298" t="s">
        <v>880</v>
      </c>
      <c r="G24" s="290" t="b">
        <v>1</v>
      </c>
      <c r="H24" s="291">
        <v>46203.0</v>
      </c>
      <c r="I24" s="290">
        <f t="shared" si="12"/>
        <v>9</v>
      </c>
      <c r="J24" s="290">
        <v>600.0</v>
      </c>
      <c r="K24" s="292">
        <f>sumifs('Form Responses 1'!H:H,'Form Responses 1'!E:E,F24) </f>
        <v>163</v>
      </c>
      <c r="L24" s="293">
        <f t="shared" si="9"/>
        <v>0.2716666667</v>
      </c>
      <c r="M24" s="290">
        <v>200.0</v>
      </c>
      <c r="N24" s="292">
        <f>sumifs('Form Responses 1'!K:K,'Form Responses 1'!E:E,F24) </f>
        <v>45</v>
      </c>
      <c r="O24" s="293">
        <f t="shared" si="10"/>
        <v>0.225</v>
      </c>
      <c r="P24" s="290">
        <v>100.0</v>
      </c>
      <c r="Q24" s="292">
        <f>sumifs('Form Responses 1'!J:J,'Form Responses 1'!E:E,F24) </f>
        <v>44</v>
      </c>
      <c r="R24" s="293">
        <f t="shared" si="11"/>
        <v>0.44</v>
      </c>
      <c r="S24" s="294">
        <f>sumifs('Form Responses 1'!P:P,'Form Responses 1'!E:E,F24) </f>
        <v>88</v>
      </c>
      <c r="U24" s="73">
        <f>sumifs('Form Responses 1'!H:H,'Form Responses 1'!E:E,F24,'Form Responses 1'!$B:$B,$U$8) </f>
        <v>0</v>
      </c>
      <c r="V24" s="73">
        <f>sumifs('Form Responses 1'!K:K,'Form Responses 1'!E:E,F24,'Form Responses 1'!$B:$B,$U$8) </f>
        <v>0</v>
      </c>
      <c r="W24" s="73">
        <f>sumifs('Form Responses 1'!J:J,'Form Responses 1'!E:E,F24,'Form Responses 1'!$B:$B,$U$8) </f>
        <v>0</v>
      </c>
      <c r="X24" s="73">
        <f>sumifs('Form Responses 1'!P:P,'Form Responses 1'!E:E,F24,'Form Responses 1'!$B:$B,$U$8) </f>
        <v>0</v>
      </c>
      <c r="Z24" s="295"/>
      <c r="AA24" s="295"/>
      <c r="AB24" s="295"/>
    </row>
    <row r="25">
      <c r="A25" s="287">
        <v>6.0</v>
      </c>
      <c r="B25" s="287">
        <v>14.0</v>
      </c>
      <c r="C25" s="314" t="s">
        <v>18</v>
      </c>
      <c r="D25" s="312" t="s">
        <v>1837</v>
      </c>
      <c r="E25" s="73" t="str">
        <f t="array" ref="E25">xlookup(F25,'Form Responses 1'!E:E,'Form Responses 1'!F:F,"")</f>
        <v>Nafiri pom</v>
      </c>
      <c r="F25" s="298" t="s">
        <v>782</v>
      </c>
      <c r="G25" s="290" t="b">
        <v>1</v>
      </c>
      <c r="H25" s="291">
        <v>46203.0</v>
      </c>
      <c r="I25" s="290" t="s">
        <v>1200</v>
      </c>
      <c r="J25" s="290">
        <v>600.0</v>
      </c>
      <c r="K25" s="292">
        <f>sumifs('Form Responses 1'!H:H,'Form Responses 1'!E:E,F25) </f>
        <v>168</v>
      </c>
      <c r="L25" s="293">
        <f t="shared" si="9"/>
        <v>0.28</v>
      </c>
      <c r="M25" s="290">
        <v>200.0</v>
      </c>
      <c r="N25" s="292">
        <f>sumifs('Form Responses 1'!K:K,'Form Responses 1'!E:E,F25) </f>
        <v>46</v>
      </c>
      <c r="O25" s="293">
        <f t="shared" si="10"/>
        <v>0.23</v>
      </c>
      <c r="P25" s="290">
        <v>100.0</v>
      </c>
      <c r="Q25" s="292">
        <f>sumifs('Form Responses 1'!J:J,'Form Responses 1'!E:E,F25) </f>
        <v>13</v>
      </c>
      <c r="R25" s="293">
        <f t="shared" si="11"/>
        <v>0.13</v>
      </c>
      <c r="S25" s="294">
        <f>sumifs('Form Responses 1'!P:P,'Form Responses 1'!E:E,F25) </f>
        <v>109</v>
      </c>
      <c r="U25" s="73">
        <f>sumifs('Form Responses 1'!H:H,'Form Responses 1'!E:E,F25,'Form Responses 1'!$B:$B,$U$8) </f>
        <v>0</v>
      </c>
      <c r="V25" s="73">
        <f>sumifs('Form Responses 1'!K:K,'Form Responses 1'!E:E,F25,'Form Responses 1'!$B:$B,$U$8) </f>
        <v>0</v>
      </c>
      <c r="W25" s="73">
        <f>sumifs('Form Responses 1'!J:J,'Form Responses 1'!E:E,F25,'Form Responses 1'!$B:$B,$U$8) </f>
        <v>0</v>
      </c>
      <c r="X25" s="73">
        <f>sumifs('Form Responses 1'!P:P,'Form Responses 1'!E:E,F25,'Form Responses 1'!$B:$B,$U$8) </f>
        <v>0</v>
      </c>
      <c r="Z25" s="295"/>
      <c r="AA25" s="295"/>
      <c r="AB25" s="295"/>
    </row>
    <row r="26">
      <c r="A26" s="287"/>
      <c r="B26" s="287">
        <v>15.0</v>
      </c>
      <c r="C26" s="314" t="s">
        <v>18</v>
      </c>
      <c r="D26" s="296" t="s">
        <v>1838</v>
      </c>
      <c r="E26" s="73" t="str">
        <f t="array" ref="E26">xlookup(F26,'Form Responses 1'!E:E,'Form Responses 1'!F:F,"")</f>
        <v>Susan cell</v>
      </c>
      <c r="F26" s="315" t="s">
        <v>1230</v>
      </c>
      <c r="G26" s="290" t="b">
        <v>1</v>
      </c>
      <c r="H26" s="291">
        <v>46205.0</v>
      </c>
      <c r="I26" s="290">
        <f t="shared" ref="I26:I41" si="13">TODAY()-H26</f>
        <v>7</v>
      </c>
      <c r="J26" s="290">
        <v>600.0</v>
      </c>
      <c r="K26" s="292">
        <f>sumifs('Form Responses 1'!H:H,'Form Responses 1'!E:E,F26) </f>
        <v>49</v>
      </c>
      <c r="L26" s="293">
        <f t="shared" si="9"/>
        <v>0.08166666667</v>
      </c>
      <c r="M26" s="290">
        <v>200.0</v>
      </c>
      <c r="N26" s="292">
        <f>sumifs('Form Responses 1'!K:K,'Form Responses 1'!E:E,F26) </f>
        <v>4</v>
      </c>
      <c r="O26" s="293">
        <f t="shared" si="10"/>
        <v>0.02</v>
      </c>
      <c r="P26" s="290">
        <v>100.0</v>
      </c>
      <c r="Q26" s="292">
        <f>sumifs('Form Responses 1'!J:J,'Form Responses 1'!E:E,F26) </f>
        <v>5</v>
      </c>
      <c r="R26" s="293">
        <f t="shared" si="11"/>
        <v>0.05</v>
      </c>
      <c r="S26" s="294">
        <f>sumifs('Form Responses 1'!P:P,'Form Responses 1'!E:E,F26) </f>
        <v>36</v>
      </c>
      <c r="U26" s="73">
        <f>sumifs('Form Responses 1'!H:H,'Form Responses 1'!E:E,F26,'Form Responses 1'!$B:$B,$U$8) </f>
        <v>18</v>
      </c>
      <c r="V26" s="73">
        <f>sumifs('Form Responses 1'!K:K,'Form Responses 1'!E:E,F26,'Form Responses 1'!$B:$B,$U$8) </f>
        <v>1</v>
      </c>
      <c r="W26" s="73">
        <f>sumifs('Form Responses 1'!J:J,'Form Responses 1'!E:E,F26,'Form Responses 1'!$B:$B,$U$8) </f>
        <v>1</v>
      </c>
      <c r="X26" s="73">
        <f>sumifs('Form Responses 1'!P:P,'Form Responses 1'!E:E,F26,'Form Responses 1'!$B:$B,$U$8) </f>
        <v>6</v>
      </c>
      <c r="Z26" s="295"/>
      <c r="AA26" s="295"/>
      <c r="AB26" s="295"/>
    </row>
    <row r="27">
      <c r="A27" s="287"/>
      <c r="B27" s="287">
        <v>16.0</v>
      </c>
      <c r="C27" s="314" t="s">
        <v>18</v>
      </c>
      <c r="D27" s="296" t="s">
        <v>1839</v>
      </c>
      <c r="E27" s="73" t="str">
        <f t="array" ref="E27">xlookup(F27,'Form Responses 1'!E:E,'Form Responses 1'!F:F,"")</f>
        <v>Kimo cell</v>
      </c>
      <c r="F27" s="315" t="s">
        <v>1562</v>
      </c>
      <c r="G27" s="290" t="b">
        <v>1</v>
      </c>
      <c r="H27" s="291">
        <v>46205.0</v>
      </c>
      <c r="I27" s="290">
        <f t="shared" si="13"/>
        <v>7</v>
      </c>
      <c r="J27" s="290">
        <v>600.0</v>
      </c>
      <c r="K27" s="292">
        <f>sumifs('Form Responses 1'!H:H,'Form Responses 1'!E:E,F27) </f>
        <v>135</v>
      </c>
      <c r="L27" s="293">
        <f t="shared" si="9"/>
        <v>0.225</v>
      </c>
      <c r="M27" s="290">
        <v>200.0</v>
      </c>
      <c r="N27" s="292">
        <f>sumifs('Form Responses 1'!K:K,'Form Responses 1'!E:E,F27) </f>
        <v>8</v>
      </c>
      <c r="O27" s="293">
        <f t="shared" si="10"/>
        <v>0.04</v>
      </c>
      <c r="P27" s="290">
        <v>100.0</v>
      </c>
      <c r="Q27" s="292">
        <f>sumifs('Form Responses 1'!J:J,'Form Responses 1'!E:E,F27) </f>
        <v>3</v>
      </c>
      <c r="R27" s="293">
        <f t="shared" si="11"/>
        <v>0.03</v>
      </c>
      <c r="S27" s="294">
        <f>sumifs('Form Responses 1'!P:P,'Form Responses 1'!E:E,F27) </f>
        <v>15</v>
      </c>
      <c r="U27" s="73">
        <f>sumifs('Form Responses 1'!H:H,'Form Responses 1'!E:E,F27,'Form Responses 1'!$B:$B,$U$8) </f>
        <v>0</v>
      </c>
      <c r="V27" s="73">
        <f>sumifs('Form Responses 1'!K:K,'Form Responses 1'!E:E,F27,'Form Responses 1'!$B:$B,$U$8) </f>
        <v>0</v>
      </c>
      <c r="W27" s="73">
        <f>sumifs('Form Responses 1'!J:J,'Form Responses 1'!E:E,F27,'Form Responses 1'!$B:$B,$U$8) </f>
        <v>0</v>
      </c>
      <c r="X27" s="73">
        <f>sumifs('Form Responses 1'!P:P,'Form Responses 1'!E:E,F27,'Form Responses 1'!$B:$B,$U$8) </f>
        <v>0</v>
      </c>
      <c r="Z27" s="295"/>
      <c r="AA27" s="295"/>
      <c r="AB27" s="295"/>
    </row>
    <row r="28">
      <c r="A28" s="287"/>
      <c r="B28" s="287">
        <v>17.0</v>
      </c>
      <c r="C28" s="314" t="s">
        <v>18</v>
      </c>
      <c r="D28" s="296" t="s">
        <v>1840</v>
      </c>
      <c r="E28" s="197" t="s">
        <v>1841</v>
      </c>
      <c r="F28" s="315" t="s">
        <v>173</v>
      </c>
      <c r="G28" s="290" t="b">
        <v>1</v>
      </c>
      <c r="H28" s="291">
        <v>46205.0</v>
      </c>
      <c r="I28" s="290">
        <f t="shared" si="13"/>
        <v>7</v>
      </c>
      <c r="J28" s="290">
        <v>600.0</v>
      </c>
      <c r="K28" s="292">
        <f>sumifs('Form Responses 1'!H:H,'Form Responses 1'!E:E,F28) </f>
        <v>151</v>
      </c>
      <c r="L28" s="293">
        <f t="shared" si="9"/>
        <v>0.2516666667</v>
      </c>
      <c r="M28" s="290">
        <v>200.0</v>
      </c>
      <c r="N28" s="292">
        <f>sumifs('Form Responses 1'!K:K,'Form Responses 1'!E:E,F28) </f>
        <v>33</v>
      </c>
      <c r="O28" s="293">
        <f t="shared" si="10"/>
        <v>0.165</v>
      </c>
      <c r="P28" s="290">
        <v>100.0</v>
      </c>
      <c r="Q28" s="292">
        <f>sumifs('Form Responses 1'!J:J,'Form Responses 1'!E:E,F28) </f>
        <v>9</v>
      </c>
      <c r="R28" s="293">
        <f t="shared" si="11"/>
        <v>0.09</v>
      </c>
      <c r="S28" s="294">
        <f>sumifs('Form Responses 1'!P:P,'Form Responses 1'!E:E,F28) </f>
        <v>81</v>
      </c>
      <c r="U28" s="73">
        <f>sumifs('Form Responses 1'!H:H,'Form Responses 1'!E:E,F28,'Form Responses 1'!$B:$B,$U$8) </f>
        <v>25</v>
      </c>
      <c r="V28" s="73">
        <f>sumifs('Form Responses 1'!K:K,'Form Responses 1'!E:E,F28,'Form Responses 1'!$B:$B,$U$8) </f>
        <v>10</v>
      </c>
      <c r="W28" s="73">
        <f>sumifs('Form Responses 1'!J:J,'Form Responses 1'!E:E,F28,'Form Responses 1'!$B:$B,$U$8) </f>
        <v>2</v>
      </c>
      <c r="X28" s="73">
        <f>sumifs('Form Responses 1'!P:P,'Form Responses 1'!E:E,F28,'Form Responses 1'!$B:$B,$U$8) </f>
        <v>13</v>
      </c>
      <c r="Z28" s="295"/>
      <c r="AA28" s="295"/>
      <c r="AB28" s="295"/>
    </row>
    <row r="29">
      <c r="A29" s="287"/>
      <c r="B29" s="287">
        <v>18.0</v>
      </c>
      <c r="C29" s="314" t="s">
        <v>1842</v>
      </c>
      <c r="D29" s="296" t="s">
        <v>1843</v>
      </c>
      <c r="E29" s="73" t="str">
        <f t="array" ref="E29">xlookup(F29,'Form Responses 1'!E:E,'Form Responses 1'!F:F,"")</f>
        <v>King Tronik 2</v>
      </c>
      <c r="F29" s="315" t="s">
        <v>113</v>
      </c>
      <c r="G29" s="290" t="b">
        <v>1</v>
      </c>
      <c r="H29" s="291">
        <v>46205.0</v>
      </c>
      <c r="I29" s="290">
        <f t="shared" si="13"/>
        <v>7</v>
      </c>
      <c r="J29" s="290">
        <v>600.0</v>
      </c>
      <c r="K29" s="292">
        <f>sumifs('Form Responses 1'!H:H,'Form Responses 1'!E:E,F29) </f>
        <v>25</v>
      </c>
      <c r="L29" s="293">
        <f t="shared" si="9"/>
        <v>0.04166666667</v>
      </c>
      <c r="M29" s="290">
        <v>200.0</v>
      </c>
      <c r="N29" s="292">
        <f>sumifs('Form Responses 1'!K:K,'Form Responses 1'!E:E,F29) </f>
        <v>21.58181818</v>
      </c>
      <c r="O29" s="293">
        <f t="shared" si="10"/>
        <v>0.1079090909</v>
      </c>
      <c r="P29" s="290">
        <v>100.0</v>
      </c>
      <c r="Q29" s="292">
        <f>sumifs('Form Responses 1'!J:J,'Form Responses 1'!E:E,F29) </f>
        <v>6.709090909</v>
      </c>
      <c r="R29" s="293">
        <f t="shared" si="11"/>
        <v>0.06709090909</v>
      </c>
      <c r="S29" s="294">
        <f>sumifs('Form Responses 1'!P:P,'Form Responses 1'!E:E,F29) </f>
        <v>40.94545455</v>
      </c>
      <c r="U29" s="73">
        <f>sumifs('Form Responses 1'!H:H,'Form Responses 1'!E:E,F29,'Form Responses 1'!$B:$B,$U$8) </f>
        <v>8</v>
      </c>
      <c r="V29" s="73">
        <f>sumifs('Form Responses 1'!K:K,'Form Responses 1'!E:E,F29,'Form Responses 1'!$B:$B,$U$8) </f>
        <v>4</v>
      </c>
      <c r="W29" s="73">
        <f>sumifs('Form Responses 1'!J:J,'Form Responses 1'!E:E,F29,'Form Responses 1'!$B:$B,$U$8) </f>
        <v>3</v>
      </c>
      <c r="X29" s="73">
        <f>sumifs('Form Responses 1'!P:P,'Form Responses 1'!E:E,F29,'Form Responses 1'!$B:$B,$U$8) </f>
        <v>5</v>
      </c>
      <c r="Z29" s="295"/>
      <c r="AA29" s="295"/>
      <c r="AB29" s="295"/>
    </row>
    <row r="30">
      <c r="A30" s="287">
        <v>1.0</v>
      </c>
      <c r="B30" s="287">
        <v>19.0</v>
      </c>
      <c r="C30" s="297" t="s">
        <v>15</v>
      </c>
      <c r="D30" s="312" t="s">
        <v>1844</v>
      </c>
      <c r="E30" s="73" t="str">
        <f t="array" ref="E30">xlookup(F30,'Form Responses 1'!E:E,'Form Responses 1'!F:F,"")</f>
        <v>AGUDIA Cell</v>
      </c>
      <c r="F30" s="53" t="s">
        <v>1077</v>
      </c>
      <c r="G30" s="290" t="b">
        <v>1</v>
      </c>
      <c r="H30" s="291">
        <v>46195.0</v>
      </c>
      <c r="I30" s="290">
        <f t="shared" si="13"/>
        <v>17</v>
      </c>
      <c r="J30" s="290">
        <v>600.0</v>
      </c>
      <c r="K30" s="292">
        <f>sumifs('Form Responses 1'!H:H,'Form Responses 1'!E:E,F30) </f>
        <v>276</v>
      </c>
      <c r="L30" s="293">
        <f t="shared" si="9"/>
        <v>0.46</v>
      </c>
      <c r="M30" s="290">
        <v>200.0</v>
      </c>
      <c r="N30" s="292">
        <f>sumifs('Form Responses 1'!K:K,'Form Responses 1'!E:E,F30) </f>
        <v>13</v>
      </c>
      <c r="O30" s="293">
        <f t="shared" si="10"/>
        <v>0.065</v>
      </c>
      <c r="P30" s="290">
        <v>100.0</v>
      </c>
      <c r="Q30" s="292">
        <f>sumifs('Form Responses 1'!J:J,'Form Responses 1'!E:E,F30) </f>
        <v>47</v>
      </c>
      <c r="R30" s="293">
        <f t="shared" si="11"/>
        <v>0.47</v>
      </c>
      <c r="S30" s="294">
        <f>sumifs('Form Responses 1'!P:P,'Form Responses 1'!E:E,F30) </f>
        <v>53</v>
      </c>
      <c r="U30" s="73">
        <f>sumifs('Form Responses 1'!H:H,'Form Responses 1'!E:E,F30,'Form Responses 1'!$B:$B,$U$8) </f>
        <v>0</v>
      </c>
      <c r="V30" s="73">
        <f>sumifs('Form Responses 1'!K:K,'Form Responses 1'!E:E,F30,'Form Responses 1'!$B:$B,$U$8) </f>
        <v>0</v>
      </c>
      <c r="W30" s="73">
        <f>sumifs('Form Responses 1'!J:J,'Form Responses 1'!E:E,F30,'Form Responses 1'!$B:$B,$U$8) </f>
        <v>0</v>
      </c>
      <c r="X30" s="73">
        <f>sumifs('Form Responses 1'!P:P,'Form Responses 1'!E:E,F30,'Form Responses 1'!$B:$B,$U$8) </f>
        <v>0</v>
      </c>
      <c r="Z30" s="295"/>
      <c r="AA30" s="295"/>
      <c r="AB30" s="295"/>
    </row>
    <row r="31">
      <c r="A31" s="287">
        <v>2.0</v>
      </c>
      <c r="B31" s="287">
        <v>20.0</v>
      </c>
      <c r="C31" s="288" t="s">
        <v>15</v>
      </c>
      <c r="D31" s="312" t="s">
        <v>1845</v>
      </c>
      <c r="E31" s="73" t="str">
        <f t="array" ref="E31">xlookup(F31,'Form Responses 1'!E:E,'Form Responses 1'!F:F,"")</f>
        <v>Abiyu cell</v>
      </c>
      <c r="F31" s="289" t="s">
        <v>1173</v>
      </c>
      <c r="G31" s="290" t="b">
        <v>1</v>
      </c>
      <c r="H31" s="291">
        <v>46195.0</v>
      </c>
      <c r="I31" s="290">
        <f t="shared" si="13"/>
        <v>17</v>
      </c>
      <c r="J31" s="290">
        <v>600.0</v>
      </c>
      <c r="K31" s="292">
        <f>sumifs('Form Responses 1'!H:H,'Form Responses 1'!E:E,F31) </f>
        <v>129</v>
      </c>
      <c r="L31" s="293">
        <f t="shared" si="9"/>
        <v>0.215</v>
      </c>
      <c r="M31" s="290">
        <v>200.0</v>
      </c>
      <c r="N31" s="292">
        <f>sumifs('Form Responses 1'!K:K,'Form Responses 1'!E:E,F31) </f>
        <v>7</v>
      </c>
      <c r="O31" s="293">
        <f t="shared" si="10"/>
        <v>0.035</v>
      </c>
      <c r="P31" s="290">
        <v>100.0</v>
      </c>
      <c r="Q31" s="292">
        <f>sumifs('Form Responses 1'!J:J,'Form Responses 1'!E:E,F31) </f>
        <v>33</v>
      </c>
      <c r="R31" s="293">
        <f t="shared" si="11"/>
        <v>0.33</v>
      </c>
      <c r="S31" s="294">
        <f>sumifs('Form Responses 1'!P:P,'Form Responses 1'!E:E,F31) </f>
        <v>43</v>
      </c>
      <c r="U31" s="73">
        <f>sumifs('Form Responses 1'!H:H,'Form Responses 1'!E:E,F31,'Form Responses 1'!$B:$B,$U$8) </f>
        <v>0</v>
      </c>
      <c r="V31" s="73">
        <f>sumifs('Form Responses 1'!K:K,'Form Responses 1'!E:E,F31,'Form Responses 1'!$B:$B,$U$8) </f>
        <v>0</v>
      </c>
      <c r="W31" s="73">
        <f>sumifs('Form Responses 1'!J:J,'Form Responses 1'!E:E,F31,'Form Responses 1'!$B:$B,$U$8) </f>
        <v>0</v>
      </c>
      <c r="X31" s="73">
        <f>sumifs('Form Responses 1'!P:P,'Form Responses 1'!E:E,F31,'Form Responses 1'!$B:$B,$U$8) </f>
        <v>0</v>
      </c>
      <c r="Z31" s="295"/>
      <c r="AA31" s="295"/>
      <c r="AB31" s="295"/>
    </row>
    <row r="32">
      <c r="A32" s="287">
        <v>3.0</v>
      </c>
      <c r="B32" s="287">
        <v>21.0</v>
      </c>
      <c r="C32" s="297" t="s">
        <v>15</v>
      </c>
      <c r="D32" s="312" t="s">
        <v>1846</v>
      </c>
      <c r="E32" s="73" t="str">
        <f t="array" ref="E32">xlookup(F32,'Form Responses 1'!E:E,'Form Responses 1'!F:F,"")</f>
        <v>mox cell</v>
      </c>
      <c r="F32" s="289" t="s">
        <v>376</v>
      </c>
      <c r="G32" s="290" t="b">
        <v>1</v>
      </c>
      <c r="H32" s="291">
        <v>46195.0</v>
      </c>
      <c r="I32" s="290">
        <f t="shared" si="13"/>
        <v>17</v>
      </c>
      <c r="J32" s="290">
        <v>600.0</v>
      </c>
      <c r="K32" s="292">
        <f>sumifs('Form Responses 1'!H:H,'Form Responses 1'!E:E,F32) </f>
        <v>155</v>
      </c>
      <c r="L32" s="293">
        <f t="shared" si="9"/>
        <v>0.2583333333</v>
      </c>
      <c r="M32" s="290">
        <v>200.0</v>
      </c>
      <c r="N32" s="292">
        <f>sumifs('Form Responses 1'!K:K,'Form Responses 1'!E:E,F32) </f>
        <v>45</v>
      </c>
      <c r="O32" s="293">
        <f t="shared" si="10"/>
        <v>0.225</v>
      </c>
      <c r="P32" s="290">
        <v>100.0</v>
      </c>
      <c r="Q32" s="292">
        <f>sumifs('Form Responses 1'!J:J,'Form Responses 1'!E:E,F32) </f>
        <v>16</v>
      </c>
      <c r="R32" s="293">
        <f t="shared" si="11"/>
        <v>0.16</v>
      </c>
      <c r="S32" s="294">
        <f>sumifs('Form Responses 1'!P:P,'Form Responses 1'!E:E,F32) </f>
        <v>97</v>
      </c>
      <c r="U32" s="73">
        <f>sumifs('Form Responses 1'!H:H,'Form Responses 1'!E:E,F32,'Form Responses 1'!$B:$B,$U$8) </f>
        <v>0</v>
      </c>
      <c r="V32" s="73">
        <f>sumifs('Form Responses 1'!K:K,'Form Responses 1'!E:E,F32,'Form Responses 1'!$B:$B,$U$8) </f>
        <v>0</v>
      </c>
      <c r="W32" s="73">
        <f>sumifs('Form Responses 1'!J:J,'Form Responses 1'!E:E,F32,'Form Responses 1'!$B:$B,$U$8) </f>
        <v>0</v>
      </c>
      <c r="X32" s="73">
        <f>sumifs('Form Responses 1'!P:P,'Form Responses 1'!E:E,F32,'Form Responses 1'!$B:$B,$U$8) </f>
        <v>0</v>
      </c>
      <c r="Z32" s="295"/>
      <c r="AA32" s="295"/>
      <c r="AB32" s="295"/>
    </row>
    <row r="33">
      <c r="A33" s="287">
        <v>4.0</v>
      </c>
      <c r="B33" s="287">
        <v>22.0</v>
      </c>
      <c r="C33" s="297" t="s">
        <v>15</v>
      </c>
      <c r="D33" s="312" t="s">
        <v>1847</v>
      </c>
      <c r="E33" s="73" t="str">
        <f t="array" ref="E33">xlookup(F33,'Form Responses 1'!E:E,'Form Responses 1'!F:F,"")</f>
        <v/>
      </c>
      <c r="F33" s="289" t="s">
        <v>1795</v>
      </c>
      <c r="G33" s="290" t="b">
        <v>1</v>
      </c>
      <c r="H33" s="291">
        <v>46195.0</v>
      </c>
      <c r="I33" s="290">
        <f t="shared" si="13"/>
        <v>17</v>
      </c>
      <c r="J33" s="290">
        <v>600.0</v>
      </c>
      <c r="K33" s="292">
        <f>sumifs('Form Responses 1'!H:H,'Form Responses 1'!E:E,F33) </f>
        <v>0</v>
      </c>
      <c r="L33" s="293">
        <f t="shared" si="9"/>
        <v>0</v>
      </c>
      <c r="M33" s="290">
        <v>200.0</v>
      </c>
      <c r="N33" s="292">
        <f>sumifs('Form Responses 1'!K:K,'Form Responses 1'!E:E,F33) </f>
        <v>0</v>
      </c>
      <c r="O33" s="293">
        <f t="shared" si="10"/>
        <v>0</v>
      </c>
      <c r="P33" s="290">
        <v>100.0</v>
      </c>
      <c r="Q33" s="292">
        <f>sumifs('Form Responses 1'!J:J,'Form Responses 1'!E:E,F33) </f>
        <v>0</v>
      </c>
      <c r="R33" s="293">
        <f t="shared" si="11"/>
        <v>0</v>
      </c>
      <c r="S33" s="294">
        <f>sumifs('Form Responses 1'!P:P,'Form Responses 1'!E:E,F33) </f>
        <v>0</v>
      </c>
      <c r="U33" s="73">
        <f>sumifs('Form Responses 1'!H:H,'Form Responses 1'!E:E,F33,'Form Responses 1'!$B:$B,$U$8) </f>
        <v>0</v>
      </c>
      <c r="V33" s="73">
        <f>sumifs('Form Responses 1'!K:K,'Form Responses 1'!E:E,F33,'Form Responses 1'!$B:$B,$U$8) </f>
        <v>0</v>
      </c>
      <c r="W33" s="73">
        <f>sumifs('Form Responses 1'!J:J,'Form Responses 1'!E:E,F33,'Form Responses 1'!$B:$B,$U$8) </f>
        <v>0</v>
      </c>
      <c r="X33" s="73">
        <f>sumifs('Form Responses 1'!P:P,'Form Responses 1'!E:E,F33,'Form Responses 1'!$B:$B,$U$8) </f>
        <v>0</v>
      </c>
      <c r="Z33" s="295"/>
      <c r="AA33" s="295"/>
      <c r="AB33" s="295"/>
    </row>
    <row r="34">
      <c r="A34" s="287"/>
      <c r="B34" s="287">
        <v>23.0</v>
      </c>
      <c r="C34" s="297" t="s">
        <v>15</v>
      </c>
      <c r="D34" s="312"/>
      <c r="E34" s="73" t="str">
        <f t="array" ref="E34">xlookup(F34,'Form Responses 1'!E:E,'Form Responses 1'!F:F,"")</f>
        <v>Semesta Cell</v>
      </c>
      <c r="F34" s="315" t="s">
        <v>585</v>
      </c>
      <c r="G34" s="290" t="b">
        <v>1</v>
      </c>
      <c r="H34" s="291">
        <v>46209.0</v>
      </c>
      <c r="I34" s="290">
        <f t="shared" si="13"/>
        <v>3</v>
      </c>
      <c r="J34" s="290">
        <v>600.0</v>
      </c>
      <c r="K34" s="292">
        <f>sumifs('Form Responses 1'!H:H,'Form Responses 1'!E:E,F34) </f>
        <v>62</v>
      </c>
      <c r="L34" s="293">
        <f t="shared" si="9"/>
        <v>0.1033333333</v>
      </c>
      <c r="M34" s="290">
        <v>200.0</v>
      </c>
      <c r="N34" s="292">
        <f>sumifs('Form Responses 1'!K:K,'Form Responses 1'!E:E,F34) </f>
        <v>4</v>
      </c>
      <c r="O34" s="293">
        <f t="shared" si="10"/>
        <v>0.02</v>
      </c>
      <c r="P34" s="290">
        <v>100.0</v>
      </c>
      <c r="Q34" s="292">
        <f>sumifs('Form Responses 1'!J:J,'Form Responses 1'!E:E,F34) </f>
        <v>2</v>
      </c>
      <c r="R34" s="293">
        <f t="shared" si="11"/>
        <v>0.02</v>
      </c>
      <c r="S34" s="294">
        <f>sumifs('Form Responses 1'!P:P,'Form Responses 1'!E:E,F34) </f>
        <v>58</v>
      </c>
      <c r="U34" s="73">
        <f>sumifs('Form Responses 1'!H:H,'Form Responses 1'!E:E,F34,'Form Responses 1'!$B:$B,$U$8) </f>
        <v>23</v>
      </c>
      <c r="V34" s="73">
        <f>sumifs('Form Responses 1'!K:K,'Form Responses 1'!E:E,F34,'Form Responses 1'!$B:$B,$U$8) </f>
        <v>3</v>
      </c>
      <c r="W34" s="73">
        <f>sumifs('Form Responses 1'!J:J,'Form Responses 1'!E:E,F34,'Form Responses 1'!$B:$B,$U$8) </f>
        <v>2</v>
      </c>
      <c r="X34" s="73">
        <f>sumifs('Form Responses 1'!P:P,'Form Responses 1'!E:E,F34,'Form Responses 1'!$B:$B,$U$8) </f>
        <v>19</v>
      </c>
      <c r="Z34" s="295"/>
      <c r="AA34" s="295"/>
      <c r="AB34" s="295"/>
    </row>
    <row r="35">
      <c r="A35" s="287">
        <v>1.0</v>
      </c>
      <c r="B35" s="287">
        <v>24.0</v>
      </c>
      <c r="C35" s="313" t="s">
        <v>21</v>
      </c>
      <c r="D35" s="312" t="s">
        <v>1848</v>
      </c>
      <c r="E35" s="73" t="str">
        <f t="array" ref="E35">xlookup(F35,'Form Responses 1'!E:E,'Form Responses 1'!F:F,"")</f>
        <v>GGS</v>
      </c>
      <c r="F35" s="316" t="s">
        <v>1273</v>
      </c>
      <c r="G35" s="290" t="b">
        <v>1</v>
      </c>
      <c r="H35" s="291">
        <v>46198.0</v>
      </c>
      <c r="I35" s="290">
        <f t="shared" si="13"/>
        <v>14</v>
      </c>
      <c r="J35" s="290">
        <v>600.0</v>
      </c>
      <c r="K35" s="292">
        <f>sumifs('Form Responses 1'!H:H,'Form Responses 1'!E:E,F35) </f>
        <v>21</v>
      </c>
      <c r="L35" s="293">
        <f t="shared" si="9"/>
        <v>0.035</v>
      </c>
      <c r="M35" s="290">
        <v>200.0</v>
      </c>
      <c r="N35" s="292">
        <f>sumifs('Form Responses 1'!K:K,'Form Responses 1'!E:E,F35) </f>
        <v>23</v>
      </c>
      <c r="O35" s="293">
        <f t="shared" si="10"/>
        <v>0.115</v>
      </c>
      <c r="P35" s="290">
        <v>100.0</v>
      </c>
      <c r="Q35" s="292">
        <f>sumifs('Form Responses 1'!J:J,'Form Responses 1'!E:E,F35) </f>
        <v>84</v>
      </c>
      <c r="R35" s="293">
        <f t="shared" si="11"/>
        <v>0.84</v>
      </c>
      <c r="S35" s="294">
        <f>sumifs('Form Responses 1'!P:P,'Form Responses 1'!E:E,F35) </f>
        <v>17</v>
      </c>
      <c r="U35" s="73">
        <f>sumifs('Form Responses 1'!H:H,'Form Responses 1'!E:E,F35,'Form Responses 1'!$B:$B,$U$8) </f>
        <v>0</v>
      </c>
      <c r="V35" s="73">
        <f>sumifs('Form Responses 1'!K:K,'Form Responses 1'!E:E,F35,'Form Responses 1'!$B:$B,$U$8) </f>
        <v>0</v>
      </c>
      <c r="W35" s="73">
        <f>sumifs('Form Responses 1'!J:J,'Form Responses 1'!E:E,F35,'Form Responses 1'!$B:$B,$U$8) </f>
        <v>0</v>
      </c>
      <c r="X35" s="73">
        <f>sumifs('Form Responses 1'!P:P,'Form Responses 1'!E:E,F35,'Form Responses 1'!$B:$B,$U$8) </f>
        <v>0</v>
      </c>
      <c r="Z35" s="295"/>
      <c r="AA35" s="295"/>
      <c r="AB35" s="295"/>
    </row>
    <row r="36" hidden="1">
      <c r="A36" s="287">
        <v>2.0</v>
      </c>
      <c r="B36" s="287">
        <v>25.0</v>
      </c>
      <c r="C36" s="314" t="s">
        <v>21</v>
      </c>
      <c r="D36" s="312" t="s">
        <v>1849</v>
      </c>
      <c r="E36" s="73" t="str">
        <f t="array" ref="E36">xlookup(F36,'Form Responses 1'!E:E,'Form Responses 1'!F:F,"")</f>
        <v/>
      </c>
      <c r="F36" s="316" t="s">
        <v>1797</v>
      </c>
      <c r="G36" s="290" t="b">
        <v>0</v>
      </c>
      <c r="H36" s="291">
        <v>46199.0</v>
      </c>
      <c r="I36" s="290">
        <f t="shared" si="13"/>
        <v>13</v>
      </c>
      <c r="J36" s="290">
        <v>600.0</v>
      </c>
      <c r="K36" s="292">
        <f>sumifs('Form Responses 1'!H:H,'Form Responses 1'!E:E,F36) </f>
        <v>0</v>
      </c>
      <c r="L36" s="293">
        <f t="shared" si="9"/>
        <v>0</v>
      </c>
      <c r="M36" s="290">
        <v>200.0</v>
      </c>
      <c r="N36" s="292">
        <f>sumifs('Form Responses 1'!K:K,'Form Responses 1'!E:E,F36) </f>
        <v>0</v>
      </c>
      <c r="O36" s="293">
        <f t="shared" si="10"/>
        <v>0</v>
      </c>
      <c r="P36" s="290">
        <v>100.0</v>
      </c>
      <c r="Q36" s="292">
        <f>sumifs('Form Responses 1'!J:J,'Form Responses 1'!E:E,F36) </f>
        <v>0</v>
      </c>
      <c r="R36" s="293">
        <f t="shared" si="11"/>
        <v>0</v>
      </c>
      <c r="S36" s="294">
        <f>sumifs('Form Responses 1'!P:P,'Form Responses 1'!E:E,F36) </f>
        <v>0</v>
      </c>
      <c r="U36" s="73">
        <f>sumifs('Form Responses 1'!H:H,'Form Responses 1'!E:E,F36,'Form Responses 1'!$B:$B,$U$8) </f>
        <v>0</v>
      </c>
      <c r="V36" s="73">
        <f>sumifs('Form Responses 1'!K:K,'Form Responses 1'!E:E,F36,'Form Responses 1'!$B:$B,$U$8) </f>
        <v>0</v>
      </c>
      <c r="W36" s="73">
        <f>sumifs('Form Responses 1'!J:J,'Form Responses 1'!E:E,F36,'Form Responses 1'!$B:$B,$U$8) </f>
        <v>0</v>
      </c>
      <c r="X36" s="73">
        <f>sumifs('Form Responses 1'!P:P,'Form Responses 1'!E:E,F36,'Form Responses 1'!$B:$B,$U$8) </f>
        <v>0</v>
      </c>
      <c r="Z36" s="295"/>
      <c r="AA36" s="295"/>
      <c r="AB36" s="295"/>
    </row>
    <row r="37" hidden="1">
      <c r="A37" s="287">
        <v>3.0</v>
      </c>
      <c r="B37" s="287">
        <v>26.0</v>
      </c>
      <c r="C37" s="313" t="s">
        <v>21</v>
      </c>
      <c r="D37" s="312"/>
      <c r="E37" s="73" t="str">
        <f t="array" ref="E37">xlookup(F37,'Form Responses 1'!E:E,'Form Responses 1'!F:F,"")</f>
        <v>Gowes card</v>
      </c>
      <c r="F37" s="316" t="s">
        <v>511</v>
      </c>
      <c r="G37" s="317" t="b">
        <v>0</v>
      </c>
      <c r="H37" s="291">
        <v>46198.0</v>
      </c>
      <c r="I37" s="290">
        <f t="shared" si="13"/>
        <v>14</v>
      </c>
      <c r="J37" s="290">
        <v>600.0</v>
      </c>
      <c r="K37" s="292">
        <f>sumifs('Form Responses 1'!H:H,'Form Responses 1'!E:E,F37) </f>
        <v>11</v>
      </c>
      <c r="L37" s="293">
        <f t="shared" si="9"/>
        <v>0.01833333333</v>
      </c>
      <c r="M37" s="290">
        <v>200.0</v>
      </c>
      <c r="N37" s="292">
        <f>sumifs('Form Responses 1'!K:K,'Form Responses 1'!E:E,F37) </f>
        <v>0</v>
      </c>
      <c r="O37" s="293">
        <f t="shared" si="10"/>
        <v>0</v>
      </c>
      <c r="P37" s="290">
        <v>100.0</v>
      </c>
      <c r="Q37" s="292">
        <f>sumifs('Form Responses 1'!J:J,'Form Responses 1'!E:E,F37) </f>
        <v>1</v>
      </c>
      <c r="R37" s="293">
        <f t="shared" si="11"/>
        <v>0.01</v>
      </c>
      <c r="S37" s="294">
        <f>sumifs('Form Responses 1'!P:P,'Form Responses 1'!E:E,F37) </f>
        <v>1</v>
      </c>
      <c r="U37" s="73">
        <f>sumifs('Form Responses 1'!H:H,'Form Responses 1'!E:E,F37,'Form Responses 1'!$B:$B,$U$8) </f>
        <v>0</v>
      </c>
      <c r="V37" s="73">
        <f>sumifs('Form Responses 1'!K:K,'Form Responses 1'!E:E,F37,'Form Responses 1'!$B:$B,$U$8) </f>
        <v>0</v>
      </c>
      <c r="W37" s="73">
        <f>sumifs('Form Responses 1'!J:J,'Form Responses 1'!E:E,F37,'Form Responses 1'!$B:$B,$U$8) </f>
        <v>0</v>
      </c>
      <c r="X37" s="73">
        <f>sumifs('Form Responses 1'!P:P,'Form Responses 1'!E:E,F37,'Form Responses 1'!$B:$B,$U$8) </f>
        <v>0</v>
      </c>
      <c r="Z37" s="295"/>
      <c r="AA37" s="295"/>
      <c r="AB37" s="295"/>
    </row>
    <row r="38">
      <c r="A38" s="318"/>
      <c r="B38" s="287">
        <v>27.0</v>
      </c>
      <c r="C38" s="314" t="s">
        <v>21</v>
      </c>
      <c r="D38" s="73"/>
      <c r="E38" s="73" t="str">
        <f t="array" ref="E38">xlookup(F38,'Form Responses 1'!E:E,'Form Responses 1'!F:F,"")</f>
        <v>Lets go card</v>
      </c>
      <c r="F38" s="316" t="s">
        <v>537</v>
      </c>
      <c r="G38" s="290" t="b">
        <v>1</v>
      </c>
      <c r="H38" s="291">
        <v>46207.0</v>
      </c>
      <c r="I38" s="290">
        <f t="shared" si="13"/>
        <v>5</v>
      </c>
      <c r="J38" s="290">
        <v>600.0</v>
      </c>
      <c r="K38" s="292">
        <f>sumifs('Form Responses 1'!H:H,'Form Responses 1'!E:E,F38) </f>
        <v>160</v>
      </c>
      <c r="L38" s="293">
        <f t="shared" si="9"/>
        <v>0.2666666667</v>
      </c>
      <c r="M38" s="290">
        <v>200.0</v>
      </c>
      <c r="N38" s="292">
        <f>sumifs('Form Responses 1'!K:K,'Form Responses 1'!E:E,F38) </f>
        <v>1</v>
      </c>
      <c r="O38" s="293">
        <f t="shared" si="10"/>
        <v>0.005</v>
      </c>
      <c r="P38" s="290">
        <v>100.0</v>
      </c>
      <c r="Q38" s="292">
        <f>sumifs('Form Responses 1'!J:J,'Form Responses 1'!E:E,F38) </f>
        <v>0</v>
      </c>
      <c r="R38" s="293">
        <f t="shared" si="11"/>
        <v>0</v>
      </c>
      <c r="S38" s="294">
        <f>sumifs('Form Responses 1'!P:P,'Form Responses 1'!E:E,F38) </f>
        <v>0</v>
      </c>
      <c r="U38" s="73">
        <f>sumifs('Form Responses 1'!H:H,'Form Responses 1'!E:E,F38,'Form Responses 1'!$B:$B,$U$8) </f>
        <v>20</v>
      </c>
      <c r="V38" s="73">
        <f>sumifs('Form Responses 1'!K:K,'Form Responses 1'!E:E,F38,'Form Responses 1'!$B:$B,$U$8) </f>
        <v>1</v>
      </c>
      <c r="W38" s="73">
        <f>sumifs('Form Responses 1'!J:J,'Form Responses 1'!E:E,F38,'Form Responses 1'!$B:$B,$U$8) </f>
        <v>0</v>
      </c>
      <c r="X38" s="73">
        <f>sumifs('Form Responses 1'!P:P,'Form Responses 1'!E:E,F38,'Form Responses 1'!$B:$B,$U$8) </f>
        <v>0</v>
      </c>
      <c r="Z38" s="295"/>
      <c r="AA38" s="295"/>
      <c r="AB38" s="295"/>
    </row>
    <row r="39">
      <c r="A39" s="318">
        <v>4.0</v>
      </c>
      <c r="B39" s="287">
        <v>28.0</v>
      </c>
      <c r="C39" s="290" t="s">
        <v>21</v>
      </c>
      <c r="D39" s="73"/>
      <c r="E39" s="73" t="str">
        <f t="array" ref="E39">xlookup(F39,'Form Responses 1'!E:E,'Form Responses 1'!F:F,"")</f>
        <v>Gowes Cell</v>
      </c>
      <c r="F39" s="316" t="s">
        <v>346</v>
      </c>
      <c r="G39" s="290" t="b">
        <v>1</v>
      </c>
      <c r="H39" s="291">
        <v>46203.0</v>
      </c>
      <c r="I39" s="290">
        <f t="shared" si="13"/>
        <v>9</v>
      </c>
      <c r="J39" s="290">
        <v>600.0</v>
      </c>
      <c r="K39" s="292">
        <f>sumifs('Form Responses 1'!H:H,'Form Responses 1'!E:E,F39) </f>
        <v>146</v>
      </c>
      <c r="L39" s="293">
        <f t="shared" si="9"/>
        <v>0.2433333333</v>
      </c>
      <c r="M39" s="290">
        <v>200.0</v>
      </c>
      <c r="N39" s="292">
        <f>sumifs('Form Responses 1'!K:K,'Form Responses 1'!E:E,F39) </f>
        <v>11</v>
      </c>
      <c r="O39" s="293">
        <f t="shared" si="10"/>
        <v>0.055</v>
      </c>
      <c r="P39" s="290">
        <v>100.0</v>
      </c>
      <c r="Q39" s="292">
        <f>sumifs('Form Responses 1'!J:J,'Form Responses 1'!E:E,F39) </f>
        <v>4</v>
      </c>
      <c r="R39" s="293">
        <f t="shared" si="11"/>
        <v>0.04</v>
      </c>
      <c r="S39" s="294">
        <f>sumifs('Form Responses 1'!P:P,'Form Responses 1'!E:E,F39) </f>
        <v>16</v>
      </c>
      <c r="U39" s="73">
        <f>sumifs('Form Responses 1'!H:H,'Form Responses 1'!E:E,F39,'Form Responses 1'!$B:$B,$U$8) </f>
        <v>25</v>
      </c>
      <c r="V39" s="73">
        <f>sumifs('Form Responses 1'!K:K,'Form Responses 1'!E:E,F39,'Form Responses 1'!$B:$B,$U$8) </f>
        <v>6</v>
      </c>
      <c r="W39" s="73">
        <f>sumifs('Form Responses 1'!J:J,'Form Responses 1'!E:E,F39,'Form Responses 1'!$B:$B,$U$8) </f>
        <v>0</v>
      </c>
      <c r="X39" s="73">
        <f>sumifs('Form Responses 1'!P:P,'Form Responses 1'!E:E,F39,'Form Responses 1'!$B:$B,$U$8) </f>
        <v>5</v>
      </c>
      <c r="Z39" s="295"/>
      <c r="AA39" s="295"/>
      <c r="AB39" s="295"/>
    </row>
    <row r="40">
      <c r="A40" s="318">
        <v>5.0</v>
      </c>
      <c r="B40" s="287">
        <v>29.0</v>
      </c>
      <c r="C40" s="290" t="s">
        <v>21</v>
      </c>
      <c r="D40" s="312" t="s">
        <v>1849</v>
      </c>
      <c r="E40" s="73" t="str">
        <f t="array" ref="E40">xlookup(F40,'Form Responses 1'!E:E,'Form Responses 1'!F:F,"")</f>
        <v>Giga data</v>
      </c>
      <c r="F40" s="316" t="s">
        <v>1431</v>
      </c>
      <c r="G40" s="290" t="b">
        <v>1</v>
      </c>
      <c r="H40" s="291">
        <v>46207.0</v>
      </c>
      <c r="I40" s="290">
        <f t="shared" si="13"/>
        <v>5</v>
      </c>
      <c r="J40" s="290">
        <v>600.0</v>
      </c>
      <c r="K40" s="292">
        <f>sumifs('Form Responses 1'!H:H,'Form Responses 1'!E:E,F40) </f>
        <v>60</v>
      </c>
      <c r="L40" s="293">
        <f t="shared" si="9"/>
        <v>0.1</v>
      </c>
      <c r="M40" s="290">
        <v>200.0</v>
      </c>
      <c r="N40" s="292">
        <f>sumifs('Form Responses 1'!K:K,'Form Responses 1'!E:E,F40) </f>
        <v>0</v>
      </c>
      <c r="O40" s="293">
        <f t="shared" si="10"/>
        <v>0</v>
      </c>
      <c r="P40" s="290">
        <v>100.0</v>
      </c>
      <c r="Q40" s="292">
        <f>sumifs('Form Responses 1'!J:J,'Form Responses 1'!E:E,F40) </f>
        <v>1</v>
      </c>
      <c r="R40" s="293">
        <f t="shared" si="11"/>
        <v>0.01</v>
      </c>
      <c r="S40" s="294">
        <f>sumifs('Form Responses 1'!P:P,'Form Responses 1'!E:E,F40) </f>
        <v>1</v>
      </c>
      <c r="U40" s="73">
        <f>sumifs('Form Responses 1'!H:H,'Form Responses 1'!E:E,F40,'Form Responses 1'!$B:$B,$U$8) </f>
        <v>0</v>
      </c>
      <c r="V40" s="73">
        <f>sumifs('Form Responses 1'!K:K,'Form Responses 1'!E:E,F40,'Form Responses 1'!$B:$B,$U$8) </f>
        <v>0</v>
      </c>
      <c r="W40" s="73">
        <f>sumifs('Form Responses 1'!J:J,'Form Responses 1'!E:E,F40,'Form Responses 1'!$B:$B,$U$8) </f>
        <v>0</v>
      </c>
      <c r="X40" s="73">
        <f>sumifs('Form Responses 1'!P:P,'Form Responses 1'!E:E,F40,'Form Responses 1'!$B:$B,$U$8) </f>
        <v>0</v>
      </c>
    </row>
    <row r="41">
      <c r="A41" s="319"/>
      <c r="B41" s="287">
        <v>30.0</v>
      </c>
      <c r="C41" s="290" t="s">
        <v>21</v>
      </c>
      <c r="D41" s="73"/>
      <c r="E41" s="73" t="str">
        <f t="array" ref="E41">xlookup(F41,'Form Responses 1'!E:E,'Form Responses 1'!F:F,"")</f>
        <v>Go green</v>
      </c>
      <c r="F41" s="316" t="s">
        <v>594</v>
      </c>
      <c r="G41" s="290" t="b">
        <v>1</v>
      </c>
      <c r="H41" s="291">
        <v>46207.0</v>
      </c>
      <c r="I41" s="290">
        <f t="shared" si="13"/>
        <v>5</v>
      </c>
      <c r="J41" s="290">
        <v>600.0</v>
      </c>
      <c r="K41" s="292">
        <f>sumifs('Form Responses 1'!H:H,'Form Responses 1'!E:E,F41) </f>
        <v>140</v>
      </c>
      <c r="L41" s="293">
        <f t="shared" si="9"/>
        <v>0.2333333333</v>
      </c>
      <c r="M41" s="290">
        <v>200.0</v>
      </c>
      <c r="N41" s="292">
        <f>sumifs('Form Responses 1'!K:K,'Form Responses 1'!E:E,F41) </f>
        <v>21</v>
      </c>
      <c r="O41" s="293">
        <f t="shared" si="10"/>
        <v>0.105</v>
      </c>
      <c r="P41" s="290">
        <v>100.0</v>
      </c>
      <c r="Q41" s="292">
        <f>sumifs('Form Responses 1'!J:J,'Form Responses 1'!E:E,F41) </f>
        <v>3</v>
      </c>
      <c r="R41" s="293">
        <f t="shared" si="11"/>
        <v>0.03</v>
      </c>
      <c r="S41" s="294">
        <f>sumifs('Form Responses 1'!P:P,'Form Responses 1'!E:E,F41) </f>
        <v>68</v>
      </c>
      <c r="U41" s="73">
        <f>sumifs('Form Responses 1'!H:H,'Form Responses 1'!E:E,F41,'Form Responses 1'!$B:$B,$U$8) </f>
        <v>0</v>
      </c>
      <c r="V41" s="73">
        <f>sumifs('Form Responses 1'!K:K,'Form Responses 1'!E:E,F41,'Form Responses 1'!$B:$B,$U$8) </f>
        <v>0</v>
      </c>
      <c r="W41" s="73">
        <f>sumifs('Form Responses 1'!J:J,'Form Responses 1'!E:E,F41,'Form Responses 1'!$B:$B,$U$8) </f>
        <v>0</v>
      </c>
      <c r="X41" s="73">
        <f>sumifs('Form Responses 1'!P:P,'Form Responses 1'!E:E,F41,'Form Responses 1'!$B:$B,$U$8) </f>
        <v>0</v>
      </c>
    </row>
    <row r="42">
      <c r="A42" s="319"/>
      <c r="B42" s="287">
        <v>31.0</v>
      </c>
      <c r="C42" s="320" t="s">
        <v>1803</v>
      </c>
      <c r="D42" s="73"/>
      <c r="E42" s="73"/>
      <c r="F42" s="302" t="s">
        <v>1804</v>
      </c>
      <c r="G42" s="290" t="b">
        <v>0</v>
      </c>
      <c r="H42" s="294" t="s">
        <v>1850</v>
      </c>
      <c r="I42" s="290"/>
      <c r="J42" s="290">
        <v>600.0</v>
      </c>
      <c r="K42" s="292">
        <f>sumifs('Form Responses 1'!H:H,'Form Responses 1'!E:E,F42) </f>
        <v>0</v>
      </c>
      <c r="L42" s="293">
        <f t="shared" si="9"/>
        <v>0</v>
      </c>
      <c r="M42" s="290">
        <v>200.0</v>
      </c>
      <c r="N42" s="292">
        <f>sumifs('Form Responses 1'!K:K,'Form Responses 1'!E:E,F42) </f>
        <v>0</v>
      </c>
      <c r="O42" s="293">
        <f t="shared" si="10"/>
        <v>0</v>
      </c>
      <c r="P42" s="290">
        <v>100.0</v>
      </c>
      <c r="Q42" s="292">
        <f>sumifs('Form Responses 1'!J:J,'Form Responses 1'!E:E,F42) </f>
        <v>0</v>
      </c>
      <c r="R42" s="293">
        <f t="shared" si="11"/>
        <v>0</v>
      </c>
      <c r="S42" s="294">
        <f>sumifs('Form Responses 1'!P:P,'Form Responses 1'!E:E,F42) </f>
        <v>0</v>
      </c>
      <c r="U42" s="73">
        <f>sumifs('Form Responses 1'!H:H,'Form Responses 1'!E:E,F42,'Form Responses 1'!$B:$B,$U$8) </f>
        <v>0</v>
      </c>
      <c r="V42" s="73">
        <f>sumifs('Form Responses 1'!K:K,'Form Responses 1'!E:E,F42,'Form Responses 1'!$B:$B,$U$8) </f>
        <v>0</v>
      </c>
      <c r="W42" s="73">
        <f>sumifs('Form Responses 1'!J:J,'Form Responses 1'!E:E,F42,'Form Responses 1'!$B:$B,$U$8) </f>
        <v>0</v>
      </c>
      <c r="X42" s="73">
        <f>sumifs('Form Responses 1'!P:P,'Form Responses 1'!E:E,F42,'Form Responses 1'!$B:$B,$U$8) </f>
        <v>0</v>
      </c>
    </row>
    <row r="43">
      <c r="F43" s="21">
        <f>COUNTA(F12:F41)</f>
        <v>30</v>
      </c>
    </row>
    <row r="53">
      <c r="A53" s="184"/>
    </row>
    <row r="54">
      <c r="A54" s="184"/>
    </row>
    <row r="55">
      <c r="A55" s="184"/>
    </row>
    <row r="56">
      <c r="A56" s="184"/>
    </row>
    <row r="57">
      <c r="A57" s="184"/>
    </row>
    <row r="58">
      <c r="A58" s="184"/>
    </row>
    <row r="59">
      <c r="A59" s="184"/>
    </row>
    <row r="60">
      <c r="A60" s="184"/>
    </row>
    <row r="61">
      <c r="A61" s="184"/>
    </row>
    <row r="62">
      <c r="A62" s="184"/>
    </row>
    <row r="63">
      <c r="A63" s="184"/>
    </row>
    <row r="64">
      <c r="A64" s="184"/>
    </row>
    <row r="65">
      <c r="A65" s="184"/>
    </row>
    <row r="66">
      <c r="A66" s="184"/>
    </row>
    <row r="67">
      <c r="A67" s="184"/>
    </row>
    <row r="68">
      <c r="A68" s="184"/>
      <c r="B68" s="184"/>
      <c r="C68" s="184"/>
      <c r="I68" s="184"/>
      <c r="J68" s="184"/>
      <c r="K68" s="184"/>
      <c r="L68" s="184"/>
    </row>
    <row r="69">
      <c r="A69" s="184"/>
      <c r="B69" s="184"/>
      <c r="C69" s="184"/>
      <c r="I69" s="184"/>
      <c r="J69" s="184"/>
      <c r="K69" s="184"/>
      <c r="L69" s="184"/>
    </row>
    <row r="70">
      <c r="A70" s="184"/>
      <c r="B70" s="184"/>
      <c r="C70" s="184"/>
      <c r="I70" s="184"/>
      <c r="J70" s="184"/>
      <c r="K70" s="184"/>
      <c r="L70" s="184"/>
    </row>
    <row r="71">
      <c r="A71" s="184"/>
      <c r="B71" s="184"/>
      <c r="C71" s="184"/>
      <c r="I71" s="184"/>
      <c r="J71" s="184"/>
      <c r="K71" s="184"/>
      <c r="L71" s="184"/>
    </row>
    <row r="72">
      <c r="A72" s="184"/>
      <c r="B72" s="184"/>
      <c r="C72" s="184"/>
      <c r="I72" s="184"/>
      <c r="J72" s="184"/>
      <c r="K72" s="184"/>
      <c r="L72" s="184"/>
    </row>
    <row r="73">
      <c r="A73" s="184"/>
      <c r="B73" s="184"/>
      <c r="C73" s="184"/>
      <c r="I73" s="184"/>
      <c r="J73" s="184"/>
      <c r="K73" s="184"/>
      <c r="L73" s="184"/>
    </row>
    <row r="74">
      <c r="A74" s="184"/>
      <c r="B74" s="184"/>
      <c r="C74" s="184"/>
      <c r="I74" s="184"/>
      <c r="J74" s="184"/>
      <c r="K74" s="184"/>
      <c r="L74" s="184"/>
    </row>
    <row r="75">
      <c r="A75" s="184"/>
      <c r="B75" s="184"/>
      <c r="C75" s="184"/>
      <c r="I75" s="184"/>
      <c r="J75" s="184"/>
      <c r="K75" s="184"/>
      <c r="L75" s="184"/>
    </row>
    <row r="76">
      <c r="A76" s="184"/>
      <c r="B76" s="184"/>
      <c r="C76" s="184"/>
      <c r="I76" s="184"/>
      <c r="J76" s="184"/>
      <c r="K76" s="184"/>
      <c r="L76" s="184"/>
    </row>
    <row r="77">
      <c r="A77" s="184"/>
      <c r="B77" s="184"/>
      <c r="C77" s="184"/>
      <c r="I77" s="184"/>
      <c r="J77" s="184"/>
      <c r="K77" s="184"/>
      <c r="L77" s="184"/>
    </row>
    <row r="78">
      <c r="A78" s="184"/>
      <c r="B78" s="184"/>
      <c r="C78" s="184"/>
      <c r="I78" s="184"/>
      <c r="J78" s="184"/>
      <c r="K78" s="184"/>
      <c r="L78" s="184"/>
    </row>
    <row r="79">
      <c r="A79" s="184"/>
      <c r="B79" s="184"/>
      <c r="C79" s="184"/>
      <c r="I79" s="184"/>
      <c r="J79" s="184"/>
      <c r="K79" s="184"/>
      <c r="L79" s="184"/>
    </row>
    <row r="80">
      <c r="A80" s="184"/>
      <c r="B80" s="184"/>
      <c r="C80" s="184"/>
      <c r="I80" s="184"/>
      <c r="J80" s="184"/>
      <c r="K80" s="184"/>
      <c r="L80" s="184"/>
    </row>
    <row r="81">
      <c r="A81" s="184"/>
      <c r="B81" s="184"/>
      <c r="C81" s="184"/>
      <c r="I81" s="184"/>
      <c r="J81" s="184"/>
      <c r="K81" s="184"/>
      <c r="L81" s="184"/>
    </row>
    <row r="82">
      <c r="A82" s="184"/>
      <c r="B82" s="184"/>
      <c r="C82" s="184"/>
      <c r="I82" s="184"/>
      <c r="J82" s="184"/>
      <c r="K82" s="184"/>
      <c r="L82" s="184"/>
    </row>
    <row r="83">
      <c r="A83" s="184"/>
      <c r="B83" s="184"/>
      <c r="C83" s="184"/>
      <c r="I83" s="184"/>
      <c r="J83" s="184"/>
      <c r="K83" s="184"/>
      <c r="L83" s="184"/>
    </row>
    <row r="84">
      <c r="A84" s="184"/>
      <c r="B84" s="184"/>
      <c r="C84" s="184"/>
      <c r="I84" s="184"/>
      <c r="J84" s="184"/>
      <c r="K84" s="184"/>
      <c r="L84" s="184"/>
    </row>
    <row r="85">
      <c r="A85" s="184"/>
      <c r="B85" s="184"/>
      <c r="C85" s="184"/>
      <c r="I85" s="184"/>
      <c r="J85" s="184"/>
      <c r="K85" s="184"/>
      <c r="L85" s="184"/>
    </row>
    <row r="86">
      <c r="A86" s="184"/>
      <c r="B86" s="184"/>
      <c r="C86" s="184"/>
      <c r="I86" s="184"/>
      <c r="J86" s="184"/>
      <c r="K86" s="184"/>
      <c r="L86" s="184"/>
    </row>
    <row r="87">
      <c r="A87" s="184"/>
      <c r="B87" s="184"/>
      <c r="C87" s="184"/>
      <c r="I87" s="184"/>
      <c r="J87" s="184"/>
      <c r="K87" s="184"/>
      <c r="L87" s="184"/>
    </row>
    <row r="88">
      <c r="A88" s="184"/>
      <c r="B88" s="184"/>
      <c r="C88" s="184"/>
      <c r="I88" s="184"/>
      <c r="J88" s="184"/>
      <c r="K88" s="184"/>
      <c r="L88" s="184"/>
    </row>
    <row r="89">
      <c r="A89" s="184"/>
      <c r="B89" s="184"/>
      <c r="C89" s="184"/>
      <c r="I89" s="184"/>
      <c r="J89" s="184"/>
      <c r="K89" s="184"/>
      <c r="L89" s="184"/>
    </row>
    <row r="90">
      <c r="A90" s="184"/>
      <c r="B90" s="184"/>
      <c r="C90" s="184"/>
      <c r="I90" s="184"/>
      <c r="J90" s="184"/>
      <c r="K90" s="184"/>
      <c r="L90" s="184"/>
    </row>
    <row r="91">
      <c r="A91" s="184"/>
      <c r="B91" s="184"/>
      <c r="C91" s="184"/>
      <c r="I91" s="184"/>
      <c r="J91" s="184"/>
      <c r="K91" s="184"/>
      <c r="L91" s="184"/>
    </row>
    <row r="92">
      <c r="A92" s="184"/>
      <c r="B92" s="184"/>
      <c r="C92" s="184"/>
      <c r="I92" s="184"/>
      <c r="J92" s="184"/>
      <c r="K92" s="184"/>
      <c r="L92" s="184"/>
    </row>
    <row r="93">
      <c r="A93" s="184"/>
      <c r="B93" s="184"/>
      <c r="C93" s="184"/>
      <c r="I93" s="184"/>
      <c r="J93" s="184"/>
      <c r="K93" s="184"/>
      <c r="L93" s="184"/>
    </row>
  </sheetData>
  <mergeCells count="8">
    <mergeCell ref="J2:L2"/>
    <mergeCell ref="M2:O2"/>
    <mergeCell ref="P2:R2"/>
    <mergeCell ref="H8:I8"/>
    <mergeCell ref="J10:L10"/>
    <mergeCell ref="M10:O10"/>
    <mergeCell ref="P10:R10"/>
    <mergeCell ref="U10:X10"/>
  </mergeCells>
  <conditionalFormatting sqref="U12:X42">
    <cfRule type="cellIs" dxfId="8" priority="1" operator="greaterThanOrEqual">
      <formula>1</formula>
    </cfRule>
  </conditionalFormatting>
  <dataValidations>
    <dataValidation type="list" allowBlank="1" showErrorMessage="1" sqref="U8">
      <formula1>'Form Responses 1'!$B:$B</formula1>
    </dataValidation>
  </dataValidation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</cols>
  <sheetData>
    <row r="2">
      <c r="D2" s="321" t="s">
        <v>2</v>
      </c>
      <c r="E2" s="322" t="s">
        <v>1851</v>
      </c>
      <c r="F2" s="322" t="s">
        <v>1852</v>
      </c>
      <c r="G2" s="322" t="s">
        <v>5</v>
      </c>
      <c r="H2" s="322" t="s">
        <v>1853</v>
      </c>
      <c r="I2" s="322" t="s">
        <v>7</v>
      </c>
    </row>
    <row r="3">
      <c r="D3" s="323" t="s">
        <v>25</v>
      </c>
      <c r="E3" s="323" t="s">
        <v>26</v>
      </c>
      <c r="F3" s="324">
        <f t="shared" ref="F3:F5" si="1">Countifs($B$9:$B$26,E3,$D$9:$D$26,"true")</f>
        <v>8</v>
      </c>
      <c r="G3" s="324">
        <f t="shared" ref="G3:G5" si="2">SUMifs(F9:F26,B9:B26,E3,D9:D26,"true")</f>
        <v>224</v>
      </c>
      <c r="H3" s="324">
        <f t="shared" ref="H3:H5" si="3">SUMifs($G$9:$G$26,$B$9:$B$26,E3,$D$9:$D$26,"true")</f>
        <v>75</v>
      </c>
      <c r="I3" s="324">
        <f t="shared" ref="I3:I5" si="4">SUMifs($H$9:$H$26,$B$9:$B$26,E3,$D$9:$D$26,"true")</f>
        <v>84</v>
      </c>
    </row>
    <row r="4">
      <c r="D4" s="325" t="s">
        <v>28</v>
      </c>
      <c r="E4" s="325" t="s">
        <v>29</v>
      </c>
      <c r="F4" s="326">
        <f t="shared" si="1"/>
        <v>5</v>
      </c>
      <c r="G4" s="326">
        <f t="shared" si="2"/>
        <v>234</v>
      </c>
      <c r="H4" s="326">
        <f t="shared" si="3"/>
        <v>29</v>
      </c>
      <c r="I4" s="326">
        <f t="shared" si="4"/>
        <v>48</v>
      </c>
    </row>
    <row r="5">
      <c r="D5" s="323" t="s">
        <v>30</v>
      </c>
      <c r="E5" s="323" t="s">
        <v>31</v>
      </c>
      <c r="F5" s="324">
        <f t="shared" si="1"/>
        <v>5</v>
      </c>
      <c r="G5" s="324">
        <f t="shared" si="2"/>
        <v>577</v>
      </c>
      <c r="H5" s="324">
        <f t="shared" si="3"/>
        <v>45</v>
      </c>
      <c r="I5" s="324">
        <f t="shared" si="4"/>
        <v>28</v>
      </c>
    </row>
    <row r="6">
      <c r="D6" s="327" t="s">
        <v>1854</v>
      </c>
      <c r="F6" s="328">
        <f t="shared" ref="F6:I6" si="5">sum(F3:F5)</f>
        <v>18</v>
      </c>
      <c r="G6" s="328">
        <f t="shared" si="5"/>
        <v>1035</v>
      </c>
      <c r="H6" s="328">
        <f t="shared" si="5"/>
        <v>149</v>
      </c>
      <c r="I6" s="328">
        <f t="shared" si="5"/>
        <v>160</v>
      </c>
    </row>
    <row r="8">
      <c r="A8" s="329" t="s">
        <v>1855</v>
      </c>
      <c r="B8" s="330" t="s">
        <v>1759</v>
      </c>
      <c r="C8" s="331" t="s">
        <v>1856</v>
      </c>
      <c r="D8" s="332" t="s">
        <v>1821</v>
      </c>
      <c r="E8" s="332" t="s">
        <v>1857</v>
      </c>
      <c r="F8" s="333" t="s">
        <v>1824</v>
      </c>
      <c r="G8" s="334" t="s">
        <v>1825</v>
      </c>
      <c r="H8" s="335" t="s">
        <v>1826</v>
      </c>
      <c r="I8" s="260" t="s">
        <v>1858</v>
      </c>
    </row>
    <row r="9">
      <c r="A9" s="53">
        <v>1.0</v>
      </c>
      <c r="B9" s="336" t="s">
        <v>26</v>
      </c>
      <c r="C9" s="336" t="s">
        <v>451</v>
      </c>
      <c r="D9" s="336" t="b">
        <v>1</v>
      </c>
      <c r="E9" s="337">
        <v>46197.0</v>
      </c>
      <c r="F9" s="338">
        <f>sumifs('Form Responses 1'!H:H,'Form Responses 1'!E:E,C9) </f>
        <v>142</v>
      </c>
      <c r="G9" s="338">
        <f>sumifs('Form Responses 1'!K:K,'Form Responses 1'!E:E,C9) </f>
        <v>36</v>
      </c>
      <c r="H9" s="338">
        <f>sumifs('Form Responses 1'!J:J,'Form Responses 1'!E:E,C9) </f>
        <v>70</v>
      </c>
      <c r="I9" s="338">
        <f>sumifs('Form Responses 1'!P:P,'Form Responses 1'!E:E,C9) </f>
        <v>86</v>
      </c>
    </row>
    <row r="10">
      <c r="A10" s="53">
        <v>2.0</v>
      </c>
      <c r="B10" s="336" t="s">
        <v>26</v>
      </c>
      <c r="C10" s="336" t="s">
        <v>1766</v>
      </c>
      <c r="D10" s="336" t="b">
        <v>1</v>
      </c>
      <c r="E10" s="337">
        <v>46196.0</v>
      </c>
      <c r="F10" s="338">
        <f>sumifs('Form Responses 1'!H:H,'Form Responses 1'!E:E,C10) </f>
        <v>0</v>
      </c>
      <c r="G10" s="338">
        <f>sumifs('Form Responses 1'!K:K,'Form Responses 1'!E:E,C10) </f>
        <v>0</v>
      </c>
      <c r="H10" s="338">
        <f>sumifs('Form Responses 1'!J:J,'Form Responses 1'!E:E,C10) </f>
        <v>0</v>
      </c>
      <c r="I10" s="338">
        <f>sumifs('Form Responses 1'!P:P,'Form Responses 1'!E:E,C10) </f>
        <v>0</v>
      </c>
    </row>
    <row r="11">
      <c r="A11" s="53">
        <v>3.0</v>
      </c>
      <c r="B11" s="336" t="s">
        <v>26</v>
      </c>
      <c r="C11" s="336" t="s">
        <v>1770</v>
      </c>
      <c r="D11" s="336" t="b">
        <v>1</v>
      </c>
      <c r="E11" s="337">
        <v>46204.0</v>
      </c>
      <c r="F11" s="338">
        <f>sumifs('Form Responses 1'!H:H,'Form Responses 1'!E:E,C11) </f>
        <v>0</v>
      </c>
      <c r="G11" s="338">
        <f>sumifs('Form Responses 1'!K:K,'Form Responses 1'!E:E,C11) </f>
        <v>0</v>
      </c>
      <c r="H11" s="338">
        <f>sumifs('Form Responses 1'!J:J,'Form Responses 1'!E:E,C11) </f>
        <v>0</v>
      </c>
      <c r="I11" s="338">
        <f>sumifs('Form Responses 1'!P:P,'Form Responses 1'!E:E,C11) </f>
        <v>0</v>
      </c>
    </row>
    <row r="12">
      <c r="A12" s="53">
        <v>4.0</v>
      </c>
      <c r="B12" s="336" t="s">
        <v>26</v>
      </c>
      <c r="C12" s="336" t="s">
        <v>1859</v>
      </c>
      <c r="D12" s="336" t="b">
        <v>1</v>
      </c>
      <c r="E12" s="337">
        <v>46204.0</v>
      </c>
      <c r="F12" s="338">
        <f>sumifs('Form Responses 1'!H:H,'Form Responses 1'!E:E,C12) </f>
        <v>0</v>
      </c>
      <c r="G12" s="338">
        <f>sumifs('Form Responses 1'!K:K,'Form Responses 1'!E:E,C12) </f>
        <v>0</v>
      </c>
      <c r="H12" s="338">
        <f>sumifs('Form Responses 1'!J:J,'Form Responses 1'!E:E,C12) </f>
        <v>0</v>
      </c>
      <c r="I12" s="338">
        <f>sumifs('Form Responses 1'!P:P,'Form Responses 1'!E:E,C12) </f>
        <v>0</v>
      </c>
    </row>
    <row r="13">
      <c r="A13" s="53">
        <v>5.0</v>
      </c>
      <c r="B13" s="336" t="s">
        <v>26</v>
      </c>
      <c r="C13" s="336" t="s">
        <v>1776</v>
      </c>
      <c r="D13" s="336" t="b">
        <v>1</v>
      </c>
      <c r="E13" s="337">
        <v>46204.0</v>
      </c>
      <c r="F13" s="338">
        <f>sumifs('Form Responses 1'!H:H,'Form Responses 1'!E:E,C13) </f>
        <v>0</v>
      </c>
      <c r="G13" s="338">
        <f>sumifs('Form Responses 1'!K:K,'Form Responses 1'!E:E,C13) </f>
        <v>0</v>
      </c>
      <c r="H13" s="338">
        <f>sumifs('Form Responses 1'!J:J,'Form Responses 1'!E:E,C13) </f>
        <v>0</v>
      </c>
      <c r="I13" s="338">
        <f>sumifs('Form Responses 1'!P:P,'Form Responses 1'!E:E,C13) </f>
        <v>0</v>
      </c>
    </row>
    <row r="14">
      <c r="A14" s="53">
        <v>6.0</v>
      </c>
      <c r="B14" s="336" t="s">
        <v>26</v>
      </c>
      <c r="C14" s="336" t="s">
        <v>1778</v>
      </c>
      <c r="D14" s="336" t="b">
        <v>1</v>
      </c>
      <c r="E14" s="337">
        <v>46204.0</v>
      </c>
      <c r="F14" s="338">
        <f>sumifs('Form Responses 1'!H:H,'Form Responses 1'!E:E,C14) </f>
        <v>0</v>
      </c>
      <c r="G14" s="338">
        <f>sumifs('Form Responses 1'!K:K,'Form Responses 1'!E:E,C14) </f>
        <v>0</v>
      </c>
      <c r="H14" s="338">
        <f>sumifs('Form Responses 1'!J:J,'Form Responses 1'!E:E,C14) </f>
        <v>0</v>
      </c>
      <c r="I14" s="338">
        <f>sumifs('Form Responses 1'!P:P,'Form Responses 1'!E:E,C14) </f>
        <v>0</v>
      </c>
    </row>
    <row r="15">
      <c r="A15" s="53">
        <v>7.0</v>
      </c>
      <c r="B15" s="336" t="s">
        <v>26</v>
      </c>
      <c r="C15" s="336" t="s">
        <v>323</v>
      </c>
      <c r="D15" s="336" t="b">
        <v>1</v>
      </c>
      <c r="E15" s="337">
        <v>46204.0</v>
      </c>
      <c r="F15" s="338">
        <f>sumifs('Form Responses 1'!H:H,'Form Responses 1'!E:E,C15) </f>
        <v>82</v>
      </c>
      <c r="G15" s="338">
        <f>sumifs('Form Responses 1'!K:K,'Form Responses 1'!E:E,C15) </f>
        <v>39</v>
      </c>
      <c r="H15" s="338">
        <f>sumifs('Form Responses 1'!J:J,'Form Responses 1'!E:E,C15) </f>
        <v>14</v>
      </c>
      <c r="I15" s="338">
        <f>sumifs('Form Responses 1'!P:P,'Form Responses 1'!E:E,C15) </f>
        <v>41</v>
      </c>
    </row>
    <row r="16">
      <c r="A16" s="53">
        <v>8.0</v>
      </c>
      <c r="B16" s="336" t="s">
        <v>26</v>
      </c>
      <c r="C16" s="336" t="s">
        <v>1780</v>
      </c>
      <c r="D16" s="336" t="b">
        <v>1</v>
      </c>
      <c r="E16" s="337">
        <v>46205.0</v>
      </c>
      <c r="F16" s="338">
        <f>sumifs('Form Responses 1'!H:H,'Form Responses 1'!E:E,C16) </f>
        <v>0</v>
      </c>
      <c r="G16" s="338">
        <f>sumifs('Form Responses 1'!K:K,'Form Responses 1'!E:E,C16) </f>
        <v>0</v>
      </c>
      <c r="H16" s="338">
        <f>sumifs('Form Responses 1'!J:J,'Form Responses 1'!E:E,C16) </f>
        <v>0</v>
      </c>
      <c r="I16" s="338">
        <f>sumifs('Form Responses 1'!P:P,'Form Responses 1'!E:E,C16) </f>
        <v>0</v>
      </c>
    </row>
    <row r="17">
      <c r="A17" s="53">
        <v>1.0</v>
      </c>
      <c r="B17" s="336" t="s">
        <v>29</v>
      </c>
      <c r="C17" s="336" t="s">
        <v>1860</v>
      </c>
      <c r="D17" s="336" t="b">
        <v>1</v>
      </c>
      <c r="E17" s="337">
        <v>46195.0</v>
      </c>
      <c r="F17" s="338">
        <f>sumifs('Form Responses 1'!H:H,'Form Responses 1'!E:E,C17) </f>
        <v>234</v>
      </c>
      <c r="G17" s="338">
        <f>sumifs('Form Responses 1'!K:K,'Form Responses 1'!E:E,C17) </f>
        <v>29</v>
      </c>
      <c r="H17" s="338">
        <f>sumifs('Form Responses 1'!J:J,'Form Responses 1'!E:E,C17) </f>
        <v>48</v>
      </c>
      <c r="I17" s="338">
        <f>sumifs('Form Responses 1'!P:P,'Form Responses 1'!E:E,C17) </f>
        <v>73</v>
      </c>
    </row>
    <row r="18">
      <c r="A18" s="53">
        <v>2.0</v>
      </c>
      <c r="B18" s="336" t="s">
        <v>29</v>
      </c>
      <c r="C18" s="336" t="s">
        <v>1784</v>
      </c>
      <c r="D18" s="336" t="b">
        <v>1</v>
      </c>
      <c r="E18" s="337">
        <v>46203.0</v>
      </c>
      <c r="F18" s="338">
        <f>sumifs('Form Responses 1'!H:H,'Form Responses 1'!E:E,C18) </f>
        <v>0</v>
      </c>
      <c r="G18" s="338">
        <f>sumifs('Form Responses 1'!K:K,'Form Responses 1'!E:E,C18) </f>
        <v>0</v>
      </c>
      <c r="H18" s="338">
        <f>sumifs('Form Responses 1'!J:J,'Form Responses 1'!E:E,C18) </f>
        <v>0</v>
      </c>
      <c r="I18" s="338">
        <f>sumifs('Form Responses 1'!P:P,'Form Responses 1'!E:E,C18) </f>
        <v>0</v>
      </c>
    </row>
    <row r="19">
      <c r="A19" s="53">
        <v>3.0</v>
      </c>
      <c r="B19" s="336" t="s">
        <v>29</v>
      </c>
      <c r="C19" s="336" t="s">
        <v>1787</v>
      </c>
      <c r="D19" s="336" t="b">
        <v>1</v>
      </c>
      <c r="E19" s="337">
        <v>46203.0</v>
      </c>
      <c r="F19" s="338">
        <f>sumifs('Form Responses 1'!H:H,'Form Responses 1'!E:E,C19) </f>
        <v>0</v>
      </c>
      <c r="G19" s="338">
        <f>sumifs('Form Responses 1'!K:K,'Form Responses 1'!E:E,C19) </f>
        <v>0</v>
      </c>
      <c r="H19" s="338">
        <f>sumifs('Form Responses 1'!J:J,'Form Responses 1'!E:E,C19) </f>
        <v>0</v>
      </c>
      <c r="I19" s="338">
        <f>sumifs('Form Responses 1'!P:P,'Form Responses 1'!E:E,C19) </f>
        <v>0</v>
      </c>
    </row>
    <row r="20">
      <c r="A20" s="53">
        <v>4.0</v>
      </c>
      <c r="B20" s="336" t="s">
        <v>29</v>
      </c>
      <c r="C20" s="336" t="s">
        <v>1791</v>
      </c>
      <c r="D20" s="336" t="b">
        <v>1</v>
      </c>
      <c r="E20" s="337">
        <v>46203.0</v>
      </c>
      <c r="F20" s="338">
        <f>sumifs('Form Responses 1'!H:H,'Form Responses 1'!E:E,C20) </f>
        <v>0</v>
      </c>
      <c r="G20" s="338">
        <f>sumifs('Form Responses 1'!K:K,'Form Responses 1'!E:E,C20) </f>
        <v>0</v>
      </c>
      <c r="H20" s="338">
        <f>sumifs('Form Responses 1'!J:J,'Form Responses 1'!E:E,C20) </f>
        <v>0</v>
      </c>
      <c r="I20" s="338">
        <f>sumifs('Form Responses 1'!P:P,'Form Responses 1'!E:E,C20) </f>
        <v>0</v>
      </c>
    </row>
    <row r="21">
      <c r="A21" s="53">
        <v>5.0</v>
      </c>
      <c r="B21" s="336" t="s">
        <v>29</v>
      </c>
      <c r="C21" s="336" t="s">
        <v>1793</v>
      </c>
      <c r="D21" s="336" t="b">
        <v>1</v>
      </c>
      <c r="E21" s="337">
        <v>46203.0</v>
      </c>
      <c r="F21" s="338">
        <f>sumifs('Form Responses 1'!H:H,'Form Responses 1'!E:E,C21) </f>
        <v>0</v>
      </c>
      <c r="G21" s="338">
        <f>sumifs('Form Responses 1'!K:K,'Form Responses 1'!E:E,C21) </f>
        <v>0</v>
      </c>
      <c r="H21" s="338">
        <f>sumifs('Form Responses 1'!J:J,'Form Responses 1'!E:E,C21) </f>
        <v>0</v>
      </c>
      <c r="I21" s="338">
        <f>sumifs('Form Responses 1'!P:P,'Form Responses 1'!E:E,C21) </f>
        <v>0</v>
      </c>
    </row>
    <row r="22">
      <c r="A22" s="53">
        <v>1.0</v>
      </c>
      <c r="B22" s="336" t="s">
        <v>31</v>
      </c>
      <c r="C22" s="336" t="s">
        <v>1794</v>
      </c>
      <c r="D22" s="336" t="b">
        <v>1</v>
      </c>
      <c r="E22" s="337">
        <v>46202.0</v>
      </c>
      <c r="F22" s="338">
        <f>sumifs('Form Responses 1'!H:H,'Form Responses 1'!E:E,C22) </f>
        <v>0</v>
      </c>
      <c r="G22" s="338">
        <f>sumifs('Form Responses 1'!K:K,'Form Responses 1'!E:E,C22) </f>
        <v>0</v>
      </c>
      <c r="H22" s="338">
        <f>sumifs('Form Responses 1'!J:J,'Form Responses 1'!E:E,C22) </f>
        <v>0</v>
      </c>
      <c r="I22" s="338">
        <f>sumifs('Form Responses 1'!P:P,'Form Responses 1'!E:E,C22) </f>
        <v>0</v>
      </c>
    </row>
    <row r="23">
      <c r="A23" s="53">
        <v>2.0</v>
      </c>
      <c r="B23" s="336" t="s">
        <v>31</v>
      </c>
      <c r="C23" s="336" t="s">
        <v>989</v>
      </c>
      <c r="D23" s="336" t="b">
        <v>1</v>
      </c>
      <c r="E23" s="337">
        <v>46202.0</v>
      </c>
      <c r="F23" s="338">
        <f>sumifs('Form Responses 1'!H:H,'Form Responses 1'!E:E,C23) </f>
        <v>1</v>
      </c>
      <c r="G23" s="338">
        <f>sumifs('Form Responses 1'!K:K,'Form Responses 1'!E:E,C23) </f>
        <v>0</v>
      </c>
      <c r="H23" s="338">
        <f>sumifs('Form Responses 1'!J:J,'Form Responses 1'!E:E,C23) </f>
        <v>0</v>
      </c>
      <c r="I23" s="338">
        <f>sumifs('Form Responses 1'!P:P,'Form Responses 1'!E:E,C23) </f>
        <v>0</v>
      </c>
    </row>
    <row r="24">
      <c r="A24" s="53">
        <v>3.0</v>
      </c>
      <c r="B24" s="336" t="s">
        <v>31</v>
      </c>
      <c r="C24" s="336" t="s">
        <v>1044</v>
      </c>
      <c r="D24" s="336" t="b">
        <v>1</v>
      </c>
      <c r="E24" s="337">
        <v>46202.0</v>
      </c>
      <c r="F24" s="338">
        <f>sumifs('Form Responses 1'!H:H,'Form Responses 1'!E:E,C24) </f>
        <v>229</v>
      </c>
      <c r="G24" s="338">
        <f>sumifs('Form Responses 1'!K:K,'Form Responses 1'!E:E,C24) </f>
        <v>27</v>
      </c>
      <c r="H24" s="338">
        <f>sumifs('Form Responses 1'!J:J,'Form Responses 1'!E:E,C24) </f>
        <v>8</v>
      </c>
      <c r="I24" s="338">
        <f>sumifs('Form Responses 1'!P:P,'Form Responses 1'!E:E,C24) </f>
        <v>44</v>
      </c>
    </row>
    <row r="25">
      <c r="A25" s="53">
        <v>4.0</v>
      </c>
      <c r="B25" s="336" t="s">
        <v>31</v>
      </c>
      <c r="C25" s="336" t="s">
        <v>199</v>
      </c>
      <c r="D25" s="336" t="b">
        <v>1</v>
      </c>
      <c r="E25" s="337">
        <v>46202.0</v>
      </c>
      <c r="F25" s="338">
        <f>sumifs('Form Responses 1'!H:H,'Form Responses 1'!E:E,C25) </f>
        <v>199</v>
      </c>
      <c r="G25" s="338">
        <f>sumifs('Form Responses 1'!K:K,'Form Responses 1'!E:E,C25) </f>
        <v>3</v>
      </c>
      <c r="H25" s="338">
        <f>sumifs('Form Responses 1'!J:J,'Form Responses 1'!E:E,C25) </f>
        <v>11</v>
      </c>
      <c r="I25" s="338">
        <f>sumifs('Form Responses 1'!P:P,'Form Responses 1'!E:E,C25) </f>
        <v>51</v>
      </c>
    </row>
    <row r="26">
      <c r="A26" s="53">
        <v>5.0</v>
      </c>
      <c r="B26" s="336" t="s">
        <v>31</v>
      </c>
      <c r="C26" s="336" t="s">
        <v>1298</v>
      </c>
      <c r="D26" s="336" t="b">
        <v>1</v>
      </c>
      <c r="E26" s="337">
        <v>46202.0</v>
      </c>
      <c r="F26" s="338">
        <f>sumifs('Form Responses 1'!H:H,'Form Responses 1'!E:E,C26) </f>
        <v>148</v>
      </c>
      <c r="G26" s="338">
        <f>sumifs('Form Responses 1'!K:K,'Form Responses 1'!E:E,C26) </f>
        <v>15</v>
      </c>
      <c r="H26" s="338">
        <f>sumifs('Form Responses 1'!J:J,'Form Responses 1'!E:E,C26) </f>
        <v>9</v>
      </c>
      <c r="I26" s="338">
        <f>sumifs('Form Responses 1'!P:P,'Form Responses 1'!E:E,C26) </f>
        <v>55</v>
      </c>
    </row>
    <row r="27">
      <c r="B27" s="233" t="s">
        <v>23</v>
      </c>
      <c r="C27" s="339" t="s">
        <v>1861</v>
      </c>
      <c r="D27" s="340"/>
      <c r="E27" s="340"/>
      <c r="F27" s="341">
        <f t="shared" ref="F27:I27" si="6">SUM(F9:F26)</f>
        <v>1035</v>
      </c>
      <c r="G27" s="341">
        <f t="shared" si="6"/>
        <v>149</v>
      </c>
      <c r="H27" s="341">
        <f t="shared" si="6"/>
        <v>160</v>
      </c>
      <c r="I27" s="341">
        <f t="shared" si="6"/>
        <v>350</v>
      </c>
    </row>
  </sheetData>
  <mergeCells count="1">
    <mergeCell ref="D6:E6"/>
  </mergeCell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13"/>
    <col customWidth="1" min="4" max="4" width="18.88"/>
    <col customWidth="1" min="5" max="5" width="19.25"/>
    <col customWidth="1" min="6" max="6" width="16.0"/>
    <col customWidth="1" min="8" max="8" width="17.38"/>
  </cols>
  <sheetData>
    <row r="1">
      <c r="C1" s="342"/>
      <c r="D1" s="342"/>
      <c r="E1" s="342"/>
      <c r="F1" s="342"/>
      <c r="G1" s="342"/>
      <c r="H1" s="342"/>
    </row>
    <row r="2">
      <c r="C2" s="190" t="s">
        <v>2</v>
      </c>
      <c r="D2" s="190" t="s">
        <v>1851</v>
      </c>
      <c r="E2" s="249" t="s">
        <v>1852</v>
      </c>
      <c r="F2" s="249" t="s">
        <v>1862</v>
      </c>
      <c r="G2" s="249" t="s">
        <v>1863</v>
      </c>
      <c r="H2" s="249" t="s">
        <v>1864</v>
      </c>
      <c r="I2" s="255"/>
    </row>
    <row r="3">
      <c r="C3" s="53" t="s">
        <v>32</v>
      </c>
      <c r="D3" s="343" t="s">
        <v>33</v>
      </c>
      <c r="E3" s="53">
        <f>Countifs(B11:B20,D3,F11:F20,"true")</f>
        <v>4</v>
      </c>
      <c r="F3" s="344">
        <f>SUMifs(G11:G20,B11:B20,D3,F11:F20,"true")</f>
        <v>0</v>
      </c>
      <c r="G3" s="344">
        <f>SUMifs(H11:H20,B11:B20,D3,F11:F20,"true")</f>
        <v>0</v>
      </c>
      <c r="H3" s="344">
        <f t="shared" ref="H3:H6" si="1">SUMifs($I$11:$I$20,$I$11:$I$20,$D$3,$F$11:$F$20,"true")</f>
        <v>0</v>
      </c>
      <c r="I3" s="255"/>
    </row>
    <row r="4">
      <c r="C4" s="53" t="s">
        <v>34</v>
      </c>
      <c r="D4" s="343" t="s">
        <v>35</v>
      </c>
      <c r="E4" s="53">
        <f>Countifs(B11:B20,D4,F11:F20,"true")</f>
        <v>1</v>
      </c>
      <c r="F4" s="344">
        <f>SUMifs(G11:G20,B11:B20,D4,F11:F20,"true")</f>
        <v>4</v>
      </c>
      <c r="G4" s="344">
        <f>SUMifs(H11:H20,B11:B20,D4,F11:F20,"true")</f>
        <v>2</v>
      </c>
      <c r="H4" s="344">
        <f t="shared" si="1"/>
        <v>0</v>
      </c>
      <c r="I4" s="255"/>
    </row>
    <row r="5">
      <c r="C5" s="53" t="s">
        <v>36</v>
      </c>
      <c r="D5" s="345" t="s">
        <v>37</v>
      </c>
      <c r="E5" s="53">
        <f>Countifs(B11:B20,$D5,F11:F20,"true")</f>
        <v>0</v>
      </c>
      <c r="F5" s="344">
        <f>SUMifs(G11:G20,B11:B20,D5,F11:F20,"true")</f>
        <v>0</v>
      </c>
      <c r="G5" s="344">
        <f>SUMifs(H11:H20,B11:B20,D5,F11:F20,"true")</f>
        <v>0</v>
      </c>
      <c r="H5" s="344">
        <f t="shared" si="1"/>
        <v>0</v>
      </c>
      <c r="I5" s="255"/>
    </row>
    <row r="6">
      <c r="C6" s="53" t="s">
        <v>38</v>
      </c>
      <c r="D6" s="345" t="s">
        <v>39</v>
      </c>
      <c r="E6" s="53">
        <f>Countifs(B11:B20,$D6,F11:F20,"true")</f>
        <v>2</v>
      </c>
      <c r="F6" s="344">
        <f>SUMifs(G11:G20,B11:B20,D6,F11:F20,"true")</f>
        <v>0</v>
      </c>
      <c r="G6" s="344">
        <f>SUMifs(H11:H20,B11:B20,D6,F11:F20,"true")</f>
        <v>0</v>
      </c>
      <c r="H6" s="344">
        <f t="shared" si="1"/>
        <v>0</v>
      </c>
      <c r="I6" s="255"/>
    </row>
    <row r="7">
      <c r="C7" s="346" t="s">
        <v>1854</v>
      </c>
      <c r="D7" s="346"/>
      <c r="E7" s="346">
        <f t="shared" ref="E7:H7" si="2">SUM(E3:E6)</f>
        <v>7</v>
      </c>
      <c r="F7" s="347">
        <f t="shared" si="2"/>
        <v>4</v>
      </c>
      <c r="G7" s="347">
        <f t="shared" si="2"/>
        <v>2</v>
      </c>
      <c r="H7" s="347">
        <f t="shared" si="2"/>
        <v>0</v>
      </c>
      <c r="I7" s="255"/>
    </row>
    <row r="10">
      <c r="A10" s="348" t="s">
        <v>1759</v>
      </c>
      <c r="B10" s="348" t="s">
        <v>1865</v>
      </c>
      <c r="C10" s="349" t="s">
        <v>1856</v>
      </c>
      <c r="D10" s="332" t="s">
        <v>3</v>
      </c>
      <c r="E10" s="332" t="s">
        <v>1857</v>
      </c>
      <c r="F10" s="349" t="s">
        <v>1821</v>
      </c>
      <c r="G10" s="350" t="s">
        <v>1824</v>
      </c>
      <c r="H10" s="351" t="s">
        <v>1825</v>
      </c>
      <c r="I10" s="352" t="s">
        <v>1826</v>
      </c>
      <c r="J10" s="260" t="s">
        <v>1858</v>
      </c>
    </row>
    <row r="11">
      <c r="A11" s="290" t="s">
        <v>1866</v>
      </c>
      <c r="B11" s="290" t="s">
        <v>1867</v>
      </c>
      <c r="C11" s="290" t="s">
        <v>1868</v>
      </c>
      <c r="D11" s="290" t="s">
        <v>1867</v>
      </c>
      <c r="E11" s="290" t="s">
        <v>1869</v>
      </c>
      <c r="F11" s="290" t="b">
        <v>0</v>
      </c>
      <c r="G11" s="292">
        <f>sumifs('Form Responses 1'!H:H,'Form Responses 1'!E:E,C11) </f>
        <v>0</v>
      </c>
      <c r="H11" s="292">
        <f>sumifs('Form Responses 1'!K:K,'Form Responses 1'!E:E,C11) </f>
        <v>0</v>
      </c>
      <c r="I11" s="292">
        <f>sumifs('Form Responses 1'!J:J,'Form Responses 1'!G:G,C11) </f>
        <v>0</v>
      </c>
      <c r="J11" s="338">
        <f>sumifs('Form Responses 1'!Q:Q,'Form Responses 1'!F:F,C11) </f>
        <v>0</v>
      </c>
    </row>
    <row r="12">
      <c r="A12" s="290" t="s">
        <v>1866</v>
      </c>
      <c r="B12" s="290" t="s">
        <v>1867</v>
      </c>
      <c r="C12" s="353" t="s">
        <v>1868</v>
      </c>
      <c r="D12" s="290" t="s">
        <v>1867</v>
      </c>
      <c r="E12" s="290" t="s">
        <v>1869</v>
      </c>
      <c r="F12" s="290" t="b">
        <v>0</v>
      </c>
      <c r="G12" s="292">
        <f>sumifs('Form Responses 1'!H:H,'Form Responses 1'!E:E,C12) </f>
        <v>0</v>
      </c>
      <c r="H12" s="292">
        <f>sumifs('Form Responses 1'!K:K,'Form Responses 1'!E:E,C12) </f>
        <v>0</v>
      </c>
      <c r="I12" s="292">
        <f>sumifs('Form Responses 1'!J:J,'Form Responses 1'!G:G,C12) </f>
        <v>0</v>
      </c>
      <c r="J12" s="338">
        <f>sumifs('Form Responses 1'!Q:Q,'Form Responses 1'!F:F,C12) </f>
        <v>0</v>
      </c>
    </row>
    <row r="13">
      <c r="A13" s="290" t="s">
        <v>1866</v>
      </c>
      <c r="B13" s="290" t="s">
        <v>1870</v>
      </c>
      <c r="C13" s="290" t="s">
        <v>1871</v>
      </c>
      <c r="D13" s="290" t="s">
        <v>1870</v>
      </c>
      <c r="E13" s="290" t="s">
        <v>1872</v>
      </c>
      <c r="F13" s="290" t="b">
        <v>1</v>
      </c>
      <c r="G13" s="292">
        <f>sumifs('Form Responses 1'!H:H,'Form Responses 1'!E:E,C13) </f>
        <v>0</v>
      </c>
      <c r="H13" s="292">
        <f>sumifs('Form Responses 1'!K:K,'Form Responses 1'!E:E,C13) </f>
        <v>0</v>
      </c>
      <c r="I13" s="292">
        <f>sumifs('Form Responses 1'!J:J,'Form Responses 1'!G:G,C13) </f>
        <v>0</v>
      </c>
      <c r="J13" s="338">
        <f>sumifs('Form Responses 1'!Q:Q,'Form Responses 1'!F:F,C13) </f>
        <v>0</v>
      </c>
    </row>
    <row r="14">
      <c r="A14" s="290" t="s">
        <v>1866</v>
      </c>
      <c r="B14" s="354" t="s">
        <v>1870</v>
      </c>
      <c r="C14" s="355" t="s">
        <v>1873</v>
      </c>
      <c r="D14" s="354" t="s">
        <v>1870</v>
      </c>
      <c r="E14" s="290" t="s">
        <v>1872</v>
      </c>
      <c r="F14" s="290" t="b">
        <v>1</v>
      </c>
      <c r="G14" s="292">
        <f>sumifs('Form Responses 1'!H:H,'Form Responses 1'!E:E,C14) </f>
        <v>0</v>
      </c>
      <c r="H14" s="292">
        <f>sumifs('Form Responses 1'!K:K,'Form Responses 1'!E:E,C14) </f>
        <v>0</v>
      </c>
      <c r="I14" s="292">
        <f>sumifs('Form Responses 1'!J:J,'Form Responses 1'!G:G,C14) </f>
        <v>0</v>
      </c>
      <c r="J14" s="338">
        <f>sumifs('Form Responses 1'!Q:Q,'Form Responses 1'!F:F,C14) </f>
        <v>0</v>
      </c>
    </row>
    <row r="15">
      <c r="A15" s="290" t="s">
        <v>1874</v>
      </c>
      <c r="B15" s="290" t="s">
        <v>1875</v>
      </c>
      <c r="C15" s="353" t="s">
        <v>1876</v>
      </c>
      <c r="D15" s="290" t="s">
        <v>1875</v>
      </c>
      <c r="E15" s="291">
        <v>46203.0</v>
      </c>
      <c r="F15" s="290" t="b">
        <v>1</v>
      </c>
      <c r="G15" s="292">
        <f>sumifs('Form Responses 1'!H:H,'Form Responses 1'!E:E,C15) </f>
        <v>0</v>
      </c>
      <c r="H15" s="292">
        <f>sumifs('Form Responses 1'!K:K,'Form Responses 1'!E:E,C15) </f>
        <v>0</v>
      </c>
      <c r="I15" s="292">
        <f>sumifs('Form Responses 1'!J:J,'Form Responses 1'!G:G,C15) </f>
        <v>0</v>
      </c>
      <c r="J15" s="338">
        <f>sumifs('Form Responses 1'!Q:Q,'Form Responses 1'!F:F,C15) </f>
        <v>0</v>
      </c>
    </row>
    <row r="16">
      <c r="A16" s="290" t="s">
        <v>1874</v>
      </c>
      <c r="B16" s="290" t="s">
        <v>1875</v>
      </c>
      <c r="C16" s="353" t="s">
        <v>1877</v>
      </c>
      <c r="D16" s="290" t="s">
        <v>1875</v>
      </c>
      <c r="E16" s="291">
        <v>46204.0</v>
      </c>
      <c r="F16" s="290" t="b">
        <v>1</v>
      </c>
      <c r="G16" s="292">
        <f>sumifs('Form Responses 1'!H:H,'Form Responses 1'!E:E,C16) </f>
        <v>0</v>
      </c>
      <c r="H16" s="292">
        <f>sumifs('Form Responses 1'!K:K,'Form Responses 1'!E:E,C16) </f>
        <v>0</v>
      </c>
      <c r="I16" s="292">
        <f>sumifs('Form Responses 1'!J:J,'Form Responses 1'!G:G,C16) </f>
        <v>0</v>
      </c>
      <c r="J16" s="338">
        <f>sumifs('Form Responses 1'!Q:Q,'Form Responses 1'!F:F,C16) </f>
        <v>0</v>
      </c>
    </row>
    <row r="17">
      <c r="A17" s="290" t="s">
        <v>1874</v>
      </c>
      <c r="B17" s="290" t="s">
        <v>1875</v>
      </c>
      <c r="C17" s="353" t="s">
        <v>1878</v>
      </c>
      <c r="D17" s="290" t="s">
        <v>1875</v>
      </c>
      <c r="E17" s="291">
        <v>46204.0</v>
      </c>
      <c r="F17" s="290" t="b">
        <v>1</v>
      </c>
      <c r="G17" s="292">
        <f>sumifs('Form Responses 1'!H:H,'Form Responses 1'!E:E,C17) </f>
        <v>0</v>
      </c>
      <c r="H17" s="292">
        <f>sumifs('Form Responses 1'!K:K,'Form Responses 1'!E:E,C17) </f>
        <v>0</v>
      </c>
      <c r="I17" s="292">
        <f>sumifs('Form Responses 1'!J:J,'Form Responses 1'!G:G,C17) </f>
        <v>0</v>
      </c>
      <c r="J17" s="338">
        <f>sumifs('Form Responses 1'!Q:Q,'Form Responses 1'!F:F,C17) </f>
        <v>0</v>
      </c>
    </row>
    <row r="18">
      <c r="A18" s="290" t="s">
        <v>1874</v>
      </c>
      <c r="B18" s="290" t="s">
        <v>1875</v>
      </c>
      <c r="C18" s="353" t="s">
        <v>1879</v>
      </c>
      <c r="D18" s="290" t="s">
        <v>1875</v>
      </c>
      <c r="E18" s="291">
        <v>46204.0</v>
      </c>
      <c r="F18" s="290" t="b">
        <v>1</v>
      </c>
      <c r="G18" s="292">
        <f>sumifs('Form Responses 1'!H:H,'Form Responses 1'!E:E,C18) </f>
        <v>0</v>
      </c>
      <c r="H18" s="292">
        <f>sumifs('Form Responses 1'!K:K,'Form Responses 1'!E:E,C18) </f>
        <v>0</v>
      </c>
      <c r="I18" s="292">
        <f>sumifs('Form Responses 1'!J:J,'Form Responses 1'!G:G,C18) </f>
        <v>0</v>
      </c>
      <c r="J18" s="338">
        <f>sumifs('Form Responses 1'!Q:Q,'Form Responses 1'!F:F,C18) </f>
        <v>0</v>
      </c>
    </row>
    <row r="19">
      <c r="A19" s="290" t="s">
        <v>1874</v>
      </c>
      <c r="B19" s="290" t="s">
        <v>1880</v>
      </c>
      <c r="C19" s="53" t="s">
        <v>819</v>
      </c>
      <c r="D19" s="290" t="s">
        <v>1880</v>
      </c>
      <c r="E19" s="291">
        <v>46203.0</v>
      </c>
      <c r="F19" s="290" t="b">
        <v>1</v>
      </c>
      <c r="G19" s="292">
        <f>sumifs('Form Responses 1'!H:H,'Form Responses 1'!E:E,C19) </f>
        <v>4</v>
      </c>
      <c r="H19" s="292">
        <f>sumifs('Form Responses 1'!K:K,'Form Responses 1'!E:E,C19) </f>
        <v>2</v>
      </c>
      <c r="I19" s="292">
        <f>sumifs('Form Responses 1'!J:J,'Form Responses 1'!G:G,C19) </f>
        <v>0</v>
      </c>
      <c r="J19" s="338">
        <f>sumifs('Form Responses 1'!Q:Q,'Form Responses 1'!F:F,C19) </f>
        <v>0</v>
      </c>
    </row>
    <row r="20">
      <c r="A20" s="290" t="s">
        <v>1874</v>
      </c>
      <c r="B20" s="290" t="s">
        <v>1880</v>
      </c>
      <c r="C20" s="290" t="s">
        <v>1868</v>
      </c>
      <c r="D20" s="290" t="s">
        <v>1880</v>
      </c>
      <c r="E20" s="290" t="s">
        <v>1869</v>
      </c>
      <c r="F20" s="290" t="b">
        <v>0</v>
      </c>
      <c r="G20" s="292">
        <f>sumifs('Form Responses 1'!H:H,'Form Responses 1'!E:E,C20) </f>
        <v>0</v>
      </c>
      <c r="H20" s="292">
        <f>sumifs('Form Responses 1'!K:K,'Form Responses 1'!E:E,C20) </f>
        <v>0</v>
      </c>
      <c r="I20" s="292">
        <f>sumifs('Form Responses 1'!J:J,'Form Responses 1'!G:G,C20) </f>
        <v>0</v>
      </c>
      <c r="J20" s="338">
        <f>sumifs('Form Responses 1'!Q:Q,'Form Responses 1'!F:F,C20) </f>
        <v>0</v>
      </c>
    </row>
    <row r="21">
      <c r="A21" s="356" t="s">
        <v>23</v>
      </c>
      <c r="B21" s="356" t="s">
        <v>23</v>
      </c>
      <c r="C21" s="356" t="s">
        <v>1881</v>
      </c>
      <c r="D21" s="356"/>
      <c r="E21" s="356"/>
      <c r="F21" s="317"/>
      <c r="G21" s="357">
        <f t="shared" ref="G21:I21" si="3">SUM(G11:G20)</f>
        <v>4</v>
      </c>
      <c r="H21" s="357">
        <f t="shared" si="3"/>
        <v>2</v>
      </c>
      <c r="I21" s="357">
        <f t="shared" si="3"/>
        <v>0</v>
      </c>
      <c r="J21" s="338">
        <f>sumifs('Form Responses 1'!Q:Q,'Form Responses 1'!F:F,C21) </f>
        <v>0</v>
      </c>
    </row>
    <row r="36">
      <c r="C36" s="294" t="s">
        <v>1882</v>
      </c>
      <c r="D36" s="294"/>
      <c r="E36" s="294"/>
      <c r="F36" s="294" t="s">
        <v>1883</v>
      </c>
      <c r="G36" s="294" t="s">
        <v>1884</v>
      </c>
    </row>
    <row r="37">
      <c r="C37" s="294" t="s">
        <v>1885</v>
      </c>
      <c r="D37" s="294"/>
      <c r="E37" s="294"/>
      <c r="F37" s="294" t="s">
        <v>1883</v>
      </c>
      <c r="G37" s="294" t="s">
        <v>1884</v>
      </c>
    </row>
    <row r="38">
      <c r="C38" s="294" t="s">
        <v>1886</v>
      </c>
      <c r="D38" s="294"/>
      <c r="E38" s="294"/>
      <c r="F38" s="294" t="s">
        <v>1887</v>
      </c>
      <c r="G38" s="294" t="s">
        <v>1888</v>
      </c>
    </row>
    <row r="39">
      <c r="C39" s="294" t="s">
        <v>1889</v>
      </c>
      <c r="D39" s="294"/>
      <c r="E39" s="294"/>
      <c r="F39" s="294" t="s">
        <v>1887</v>
      </c>
      <c r="G39" s="294" t="s">
        <v>1890</v>
      </c>
    </row>
    <row r="40">
      <c r="C40" s="294" t="s">
        <v>1891</v>
      </c>
      <c r="D40" s="294"/>
      <c r="E40" s="294"/>
      <c r="F40" s="294" t="s">
        <v>1887</v>
      </c>
      <c r="G40" s="294" t="s">
        <v>1890</v>
      </c>
    </row>
    <row r="41">
      <c r="C41" s="294" t="s">
        <v>1892</v>
      </c>
      <c r="D41" s="294"/>
      <c r="E41" s="294"/>
      <c r="F41" s="294" t="s">
        <v>1887</v>
      </c>
      <c r="G41" s="294" t="s">
        <v>1884</v>
      </c>
    </row>
    <row r="42">
      <c r="C42" s="294" t="s">
        <v>1893</v>
      </c>
      <c r="D42" s="294"/>
      <c r="E42" s="294"/>
      <c r="F42" s="294" t="s">
        <v>1887</v>
      </c>
      <c r="G42" s="358">
        <v>46029.0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  <col customWidth="1" min="3" max="3" width="18.5"/>
    <col customWidth="1" min="4" max="4" width="24.5"/>
    <col customWidth="1" min="5" max="5" width="21.63"/>
    <col customWidth="1" min="6" max="6" width="21.25"/>
  </cols>
  <sheetData>
    <row r="1">
      <c r="A1" s="359" t="s">
        <v>43</v>
      </c>
      <c r="B1" s="359" t="s">
        <v>44</v>
      </c>
      <c r="C1" s="359" t="s">
        <v>1</v>
      </c>
      <c r="D1" s="359" t="s">
        <v>3</v>
      </c>
      <c r="E1" s="359" t="s">
        <v>45</v>
      </c>
      <c r="F1" s="359" t="s">
        <v>46</v>
      </c>
      <c r="G1" s="359" t="s">
        <v>1806</v>
      </c>
      <c r="H1" s="359" t="s">
        <v>48</v>
      </c>
      <c r="I1" s="359" t="s">
        <v>49</v>
      </c>
      <c r="J1" s="359" t="s">
        <v>50</v>
      </c>
      <c r="K1" s="359" t="s">
        <v>51</v>
      </c>
      <c r="L1" s="359" t="s">
        <v>52</v>
      </c>
      <c r="M1" s="360" t="s">
        <v>53</v>
      </c>
      <c r="N1" s="360" t="s">
        <v>54</v>
      </c>
      <c r="O1" s="360" t="s">
        <v>1807</v>
      </c>
      <c r="P1" s="360" t="s">
        <v>56</v>
      </c>
    </row>
    <row r="2">
      <c r="A2" s="361">
        <v>46204.7497905787</v>
      </c>
      <c r="B2" s="362">
        <v>46204.0</v>
      </c>
      <c r="C2" s="197" t="s">
        <v>19</v>
      </c>
      <c r="D2" s="197" t="s">
        <v>10</v>
      </c>
      <c r="E2" s="197" t="s">
        <v>1027</v>
      </c>
      <c r="F2" s="197" t="s">
        <v>1894</v>
      </c>
      <c r="G2" s="197" t="s">
        <v>1028</v>
      </c>
      <c r="H2" s="197">
        <v>25.0</v>
      </c>
      <c r="I2" s="73"/>
      <c r="J2" s="197">
        <v>2.0</v>
      </c>
      <c r="K2" s="197">
        <v>2.0</v>
      </c>
      <c r="L2" s="197" t="s">
        <v>1029</v>
      </c>
      <c r="M2" s="363" t="s">
        <v>1030</v>
      </c>
      <c r="N2" s="363" t="s">
        <v>1031</v>
      </c>
      <c r="O2" s="197" t="s">
        <v>1032</v>
      </c>
      <c r="P2" s="197">
        <v>2.0</v>
      </c>
    </row>
    <row r="3">
      <c r="A3" s="361">
        <v>46204.794519560186</v>
      </c>
      <c r="B3" s="362">
        <v>46204.0</v>
      </c>
      <c r="C3" s="197" t="s">
        <v>19</v>
      </c>
      <c r="D3" s="197" t="s">
        <v>10</v>
      </c>
      <c r="E3" s="197" t="s">
        <v>346</v>
      </c>
      <c r="F3" s="197" t="s">
        <v>347</v>
      </c>
      <c r="G3" s="197" t="s">
        <v>357</v>
      </c>
      <c r="H3" s="197">
        <v>20.0</v>
      </c>
      <c r="I3" s="73"/>
      <c r="J3" s="197" t="s">
        <v>216</v>
      </c>
      <c r="K3" s="197">
        <v>1.0</v>
      </c>
      <c r="L3" s="197" t="s">
        <v>358</v>
      </c>
      <c r="M3" s="197" t="s">
        <v>216</v>
      </c>
      <c r="N3" s="197" t="s">
        <v>216</v>
      </c>
      <c r="O3" s="197" t="s">
        <v>359</v>
      </c>
      <c r="P3" s="197">
        <v>2.0</v>
      </c>
    </row>
    <row r="4">
      <c r="A4" s="361">
        <v>46204.82521263889</v>
      </c>
      <c r="B4" s="362">
        <v>46204.0</v>
      </c>
      <c r="C4" s="197" t="s">
        <v>19</v>
      </c>
      <c r="D4" s="197" t="s">
        <v>10</v>
      </c>
      <c r="E4" s="197" t="s">
        <v>274</v>
      </c>
      <c r="F4" s="197" t="s">
        <v>275</v>
      </c>
      <c r="G4" s="197" t="s">
        <v>276</v>
      </c>
      <c r="H4" s="197">
        <v>15.0</v>
      </c>
      <c r="I4" s="73"/>
      <c r="J4" s="197">
        <v>0.0</v>
      </c>
      <c r="K4" s="197">
        <v>0.0</v>
      </c>
      <c r="L4" s="197" t="s">
        <v>277</v>
      </c>
      <c r="M4" s="197">
        <v>0.0</v>
      </c>
      <c r="N4" s="197">
        <v>0.0</v>
      </c>
      <c r="O4" s="197" t="s">
        <v>278</v>
      </c>
      <c r="P4" s="197">
        <v>0.0</v>
      </c>
    </row>
    <row r="5">
      <c r="A5" s="361">
        <v>46204.83768672454</v>
      </c>
      <c r="B5" s="362">
        <v>46204.0</v>
      </c>
      <c r="C5" s="197" t="s">
        <v>19</v>
      </c>
      <c r="D5" s="197" t="s">
        <v>21</v>
      </c>
      <c r="E5" s="197" t="s">
        <v>1895</v>
      </c>
      <c r="F5" s="197" t="s">
        <v>1896</v>
      </c>
      <c r="G5" s="197" t="s">
        <v>1433</v>
      </c>
      <c r="H5" s="197">
        <v>20.0</v>
      </c>
      <c r="I5" s="73"/>
      <c r="J5" s="197">
        <v>1.0</v>
      </c>
      <c r="K5" s="197">
        <v>0.0</v>
      </c>
      <c r="L5" s="197" t="s">
        <v>1434</v>
      </c>
      <c r="M5" s="363" t="s">
        <v>1435</v>
      </c>
      <c r="N5" s="197">
        <v>0.0</v>
      </c>
      <c r="O5" s="197" t="s">
        <v>1436</v>
      </c>
      <c r="P5" s="197">
        <v>1.0</v>
      </c>
    </row>
    <row r="6">
      <c r="A6" s="361">
        <v>46204.8421559375</v>
      </c>
      <c r="B6" s="362">
        <v>46204.0</v>
      </c>
      <c r="C6" s="197" t="s">
        <v>19</v>
      </c>
      <c r="D6" s="197" t="s">
        <v>21</v>
      </c>
      <c r="E6" s="197" t="s">
        <v>1798</v>
      </c>
      <c r="F6" s="197" t="s">
        <v>1896</v>
      </c>
      <c r="G6" s="197" t="s">
        <v>539</v>
      </c>
      <c r="H6" s="197">
        <v>20.0</v>
      </c>
      <c r="I6" s="73"/>
      <c r="J6" s="197">
        <v>0.0</v>
      </c>
      <c r="K6" s="197">
        <v>0.0</v>
      </c>
      <c r="L6" s="73"/>
      <c r="M6" s="197">
        <v>0.0</v>
      </c>
      <c r="N6" s="197">
        <v>0.0</v>
      </c>
      <c r="O6" s="197" t="s">
        <v>540</v>
      </c>
      <c r="P6" s="197">
        <v>0.0</v>
      </c>
    </row>
    <row r="7">
      <c r="A7" s="361">
        <v>46204.86566821759</v>
      </c>
      <c r="B7" s="362">
        <v>46233.0</v>
      </c>
      <c r="C7" s="197" t="s">
        <v>19</v>
      </c>
      <c r="D7" s="197" t="s">
        <v>10</v>
      </c>
      <c r="E7" s="197" t="s">
        <v>835</v>
      </c>
      <c r="F7" s="197" t="s">
        <v>853</v>
      </c>
      <c r="G7" s="197" t="s">
        <v>854</v>
      </c>
      <c r="H7" s="197">
        <v>21.0</v>
      </c>
      <c r="I7" s="73"/>
      <c r="J7" s="197">
        <v>4.0</v>
      </c>
      <c r="K7" s="197">
        <v>0.0</v>
      </c>
      <c r="L7" s="197" t="s">
        <v>855</v>
      </c>
      <c r="M7" s="197" t="s">
        <v>856</v>
      </c>
      <c r="N7" s="197">
        <v>0.0</v>
      </c>
      <c r="O7" s="197" t="s">
        <v>857</v>
      </c>
      <c r="P7" s="197">
        <v>4.0</v>
      </c>
    </row>
    <row r="8">
      <c r="A8" s="361">
        <v>46204.867998229165</v>
      </c>
      <c r="B8" s="362">
        <v>46204.0</v>
      </c>
      <c r="C8" s="197" t="s">
        <v>19</v>
      </c>
      <c r="D8" s="197" t="s">
        <v>18</v>
      </c>
      <c r="E8" s="197" t="s">
        <v>1897</v>
      </c>
      <c r="F8" s="197" t="s">
        <v>558</v>
      </c>
      <c r="G8" s="197" t="s">
        <v>559</v>
      </c>
      <c r="H8" s="197">
        <v>10.0</v>
      </c>
      <c r="I8" s="73"/>
      <c r="J8" s="197">
        <v>3.0</v>
      </c>
      <c r="K8" s="197">
        <v>8.0</v>
      </c>
      <c r="L8" s="197" t="s">
        <v>560</v>
      </c>
      <c r="M8" s="197" t="s">
        <v>561</v>
      </c>
      <c r="N8" s="197" t="s">
        <v>562</v>
      </c>
      <c r="O8" s="197" t="s">
        <v>563</v>
      </c>
      <c r="P8" s="197">
        <v>9.0</v>
      </c>
    </row>
    <row r="9">
      <c r="A9" s="361">
        <v>46204.87357211806</v>
      </c>
      <c r="B9" s="362">
        <v>46204.0</v>
      </c>
      <c r="C9" s="197" t="s">
        <v>19</v>
      </c>
      <c r="D9" s="197" t="s">
        <v>18</v>
      </c>
      <c r="E9" s="197" t="s">
        <v>1511</v>
      </c>
      <c r="F9" s="197" t="s">
        <v>1538</v>
      </c>
      <c r="G9" s="197" t="s">
        <v>1539</v>
      </c>
      <c r="H9" s="197">
        <v>30.0</v>
      </c>
      <c r="I9" s="73"/>
      <c r="J9" s="197">
        <v>3.0</v>
      </c>
      <c r="K9" s="197">
        <v>2.0</v>
      </c>
      <c r="L9" s="197" t="s">
        <v>1540</v>
      </c>
      <c r="M9" s="364">
        <v>8.58124277860858E34</v>
      </c>
      <c r="N9" s="364">
        <v>8.15750279190896E22</v>
      </c>
      <c r="O9" s="197" t="s">
        <v>1541</v>
      </c>
      <c r="P9" s="197">
        <v>17.0</v>
      </c>
    </row>
    <row r="10">
      <c r="A10" s="361">
        <v>46204.88438636574</v>
      </c>
      <c r="B10" s="362">
        <v>46204.0</v>
      </c>
      <c r="C10" s="197" t="s">
        <v>19</v>
      </c>
      <c r="D10" s="197" t="s">
        <v>18</v>
      </c>
      <c r="E10" s="197" t="s">
        <v>641</v>
      </c>
      <c r="F10" s="197" t="s">
        <v>642</v>
      </c>
      <c r="G10" s="197" t="s">
        <v>672</v>
      </c>
      <c r="H10" s="197">
        <v>16.0</v>
      </c>
      <c r="I10" s="73"/>
      <c r="J10" s="197">
        <v>1.0</v>
      </c>
      <c r="K10" s="197">
        <v>3.0</v>
      </c>
      <c r="L10" s="197" t="s">
        <v>673</v>
      </c>
      <c r="M10" s="363" t="s">
        <v>674</v>
      </c>
      <c r="N10" s="197" t="s">
        <v>675</v>
      </c>
      <c r="O10" s="197" t="s">
        <v>676</v>
      </c>
      <c r="P10" s="197">
        <v>13.0</v>
      </c>
    </row>
    <row r="11">
      <c r="A11" s="361">
        <v>46204.885813981484</v>
      </c>
      <c r="B11" s="362">
        <v>46204.0</v>
      </c>
      <c r="C11" s="197" t="s">
        <v>19</v>
      </c>
      <c r="D11" s="197" t="s">
        <v>18</v>
      </c>
      <c r="E11" s="197" t="s">
        <v>1898</v>
      </c>
      <c r="F11" s="197" t="s">
        <v>914</v>
      </c>
      <c r="G11" s="197" t="s">
        <v>938</v>
      </c>
      <c r="H11" s="197">
        <v>15.0</v>
      </c>
      <c r="I11" s="73"/>
      <c r="J11" s="197">
        <v>1.0</v>
      </c>
      <c r="K11" s="197">
        <v>7.0</v>
      </c>
      <c r="L11" s="197" t="s">
        <v>939</v>
      </c>
      <c r="M11" s="363" t="s">
        <v>940</v>
      </c>
      <c r="N11" s="197" t="s">
        <v>941</v>
      </c>
      <c r="O11" s="197" t="s">
        <v>942</v>
      </c>
      <c r="P11" s="197">
        <v>10.0</v>
      </c>
    </row>
    <row r="12">
      <c r="A12" s="361">
        <v>46204.89358849537</v>
      </c>
      <c r="B12" s="362">
        <v>46204.0</v>
      </c>
      <c r="C12" s="197" t="s">
        <v>19</v>
      </c>
      <c r="D12" s="197" t="s">
        <v>15</v>
      </c>
      <c r="E12" s="197" t="s">
        <v>376</v>
      </c>
      <c r="F12" s="197" t="s">
        <v>385</v>
      </c>
      <c r="G12" s="197" t="s">
        <v>386</v>
      </c>
      <c r="H12" s="197">
        <v>20.0</v>
      </c>
      <c r="I12" s="73"/>
      <c r="J12" s="197">
        <v>1.0</v>
      </c>
      <c r="K12" s="197">
        <v>3.0</v>
      </c>
      <c r="L12" s="197" t="s">
        <v>387</v>
      </c>
      <c r="M12" s="363" t="s">
        <v>388</v>
      </c>
      <c r="N12" s="364">
        <v>8.96626805010895E35</v>
      </c>
      <c r="O12" s="197" t="s">
        <v>389</v>
      </c>
      <c r="P12" s="197">
        <v>17.0</v>
      </c>
    </row>
    <row r="13">
      <c r="A13" s="361">
        <v>46204.9019040625</v>
      </c>
      <c r="B13" s="362">
        <v>46204.0</v>
      </c>
      <c r="C13" s="197" t="s">
        <v>19</v>
      </c>
      <c r="D13" s="197" t="s">
        <v>18</v>
      </c>
      <c r="E13" s="197" t="s">
        <v>1899</v>
      </c>
      <c r="F13" s="197" t="s">
        <v>783</v>
      </c>
      <c r="G13" s="197" t="s">
        <v>784</v>
      </c>
      <c r="H13" s="197">
        <v>21.0</v>
      </c>
      <c r="I13" s="73"/>
      <c r="J13" s="197">
        <v>1.0</v>
      </c>
      <c r="K13" s="197">
        <v>5.0</v>
      </c>
      <c r="L13" s="197" t="s">
        <v>785</v>
      </c>
      <c r="M13" s="363" t="s">
        <v>786</v>
      </c>
      <c r="N13" s="197" t="s">
        <v>787</v>
      </c>
      <c r="O13" s="197" t="s">
        <v>788</v>
      </c>
      <c r="P13" s="197">
        <v>15.0</v>
      </c>
    </row>
    <row r="14">
      <c r="A14" s="361">
        <v>46204.917621458335</v>
      </c>
      <c r="B14" s="362">
        <v>46204.0</v>
      </c>
      <c r="C14" s="197" t="s">
        <v>19</v>
      </c>
      <c r="D14" s="197" t="s">
        <v>10</v>
      </c>
      <c r="E14" s="197" t="s">
        <v>1253</v>
      </c>
      <c r="F14" s="197" t="s">
        <v>750</v>
      </c>
      <c r="G14" s="197" t="s">
        <v>1263</v>
      </c>
      <c r="H14" s="197">
        <v>28.0</v>
      </c>
      <c r="I14" s="73"/>
      <c r="J14" s="197">
        <v>6.0</v>
      </c>
      <c r="K14" s="197">
        <v>0.0</v>
      </c>
      <c r="L14" s="197" t="s">
        <v>1264</v>
      </c>
      <c r="M14" s="197" t="s">
        <v>1265</v>
      </c>
      <c r="N14" s="197">
        <v>0.0</v>
      </c>
      <c r="O14" s="197" t="s">
        <v>1266</v>
      </c>
      <c r="P14" s="197">
        <v>6.0</v>
      </c>
    </row>
    <row r="15">
      <c r="A15" s="361">
        <v>46204.92338305556</v>
      </c>
      <c r="B15" s="362">
        <v>46204.0</v>
      </c>
      <c r="C15" s="197" t="s">
        <v>19</v>
      </c>
      <c r="D15" s="197" t="s">
        <v>18</v>
      </c>
      <c r="E15" s="197" t="s">
        <v>1900</v>
      </c>
      <c r="F15" s="197" t="s">
        <v>881</v>
      </c>
      <c r="G15" s="197" t="s">
        <v>892</v>
      </c>
      <c r="H15" s="197">
        <v>20.0</v>
      </c>
      <c r="I15" s="73"/>
      <c r="J15" s="197">
        <v>5.0</v>
      </c>
      <c r="K15" s="197">
        <v>11.0</v>
      </c>
      <c r="L15" s="197" t="s">
        <v>893</v>
      </c>
      <c r="M15" s="197" t="s">
        <v>894</v>
      </c>
      <c r="N15" s="364">
        <v>8.56277372208564E131</v>
      </c>
      <c r="O15" s="197" t="s">
        <v>895</v>
      </c>
      <c r="P15" s="197">
        <v>16.0</v>
      </c>
    </row>
    <row r="16">
      <c r="A16" s="361">
        <v>46204.95808697917</v>
      </c>
      <c r="B16" s="362">
        <v>46204.0</v>
      </c>
      <c r="C16" s="197" t="s">
        <v>19</v>
      </c>
      <c r="D16" s="197" t="s">
        <v>10</v>
      </c>
      <c r="E16" s="197" t="s">
        <v>727</v>
      </c>
      <c r="F16" s="197" t="s">
        <v>750</v>
      </c>
      <c r="G16" s="197" t="s">
        <v>751</v>
      </c>
      <c r="H16" s="197">
        <v>15.0</v>
      </c>
      <c r="I16" s="73"/>
      <c r="J16" s="197">
        <v>1.0</v>
      </c>
      <c r="K16" s="197">
        <v>0.0</v>
      </c>
      <c r="L16" s="197" t="s">
        <v>752</v>
      </c>
      <c r="M16" s="363" t="s">
        <v>753</v>
      </c>
      <c r="N16" s="197">
        <v>0.0</v>
      </c>
      <c r="O16" s="197" t="s">
        <v>754</v>
      </c>
      <c r="P16" s="197">
        <v>5.0</v>
      </c>
    </row>
    <row r="17">
      <c r="A17" s="361">
        <v>46205.02846512731</v>
      </c>
      <c r="B17" s="362">
        <v>46204.0</v>
      </c>
      <c r="C17" s="197" t="s">
        <v>19</v>
      </c>
      <c r="D17" s="197" t="s">
        <v>15</v>
      </c>
      <c r="E17" s="197" t="s">
        <v>1789</v>
      </c>
      <c r="F17" s="197" t="s">
        <v>1078</v>
      </c>
      <c r="G17" s="197" t="s">
        <v>1117</v>
      </c>
      <c r="H17" s="197">
        <v>13.0</v>
      </c>
      <c r="I17" s="73"/>
      <c r="J17" s="197">
        <v>2.0</v>
      </c>
      <c r="K17" s="197">
        <v>1.0</v>
      </c>
      <c r="L17" s="197" t="s">
        <v>1118</v>
      </c>
      <c r="M17" s="197" t="s">
        <v>1119</v>
      </c>
      <c r="N17" s="363" t="s">
        <v>1120</v>
      </c>
      <c r="O17" s="197" t="s">
        <v>1121</v>
      </c>
      <c r="P17" s="197">
        <v>2.0</v>
      </c>
    </row>
    <row r="18">
      <c r="A18" s="361">
        <v>46205.39314431713</v>
      </c>
      <c r="B18" s="362">
        <v>46204.0</v>
      </c>
      <c r="C18" s="197" t="s">
        <v>19</v>
      </c>
      <c r="D18" s="197" t="s">
        <v>15</v>
      </c>
      <c r="E18" s="197" t="s">
        <v>296</v>
      </c>
      <c r="F18" s="197" t="s">
        <v>216</v>
      </c>
      <c r="G18" s="197" t="s">
        <v>297</v>
      </c>
      <c r="H18" s="197">
        <v>10.0</v>
      </c>
      <c r="I18" s="73"/>
      <c r="J18" s="197">
        <v>2.0</v>
      </c>
      <c r="K18" s="197">
        <v>0.0</v>
      </c>
      <c r="L18" s="197" t="s">
        <v>298</v>
      </c>
      <c r="M18" s="364">
        <v>8.95703212129089E24</v>
      </c>
      <c r="N18" s="197">
        <v>0.0</v>
      </c>
      <c r="O18" s="197" t="s">
        <v>299</v>
      </c>
      <c r="P18" s="197">
        <v>10.0</v>
      </c>
    </row>
    <row r="19">
      <c r="A19" s="361">
        <v>46205.73514428241</v>
      </c>
      <c r="B19" s="362">
        <v>46204.0</v>
      </c>
      <c r="C19" s="197" t="s">
        <v>19</v>
      </c>
      <c r="D19" s="197" t="s">
        <v>10</v>
      </c>
      <c r="E19" s="197" t="s">
        <v>1365</v>
      </c>
      <c r="F19" s="197" t="s">
        <v>1366</v>
      </c>
      <c r="G19" s="197" t="s">
        <v>1401</v>
      </c>
      <c r="H19" s="197">
        <v>21.0</v>
      </c>
      <c r="I19" s="73"/>
      <c r="J19" s="197">
        <v>4.0</v>
      </c>
      <c r="K19" s="197">
        <v>0.0</v>
      </c>
      <c r="L19" s="197" t="s">
        <v>1402</v>
      </c>
      <c r="M19" s="197" t="s">
        <v>1403</v>
      </c>
      <c r="N19" s="197">
        <v>0.0</v>
      </c>
      <c r="O19" s="197" t="s">
        <v>1404</v>
      </c>
      <c r="P19" s="197">
        <v>4.0</v>
      </c>
    </row>
    <row r="20">
      <c r="A20" s="361">
        <v>46205.738160671295</v>
      </c>
      <c r="B20" s="362">
        <v>46205.0</v>
      </c>
      <c r="C20" s="197" t="s">
        <v>19</v>
      </c>
      <c r="D20" s="197" t="s">
        <v>10</v>
      </c>
      <c r="E20" s="197" t="s">
        <v>1365</v>
      </c>
      <c r="F20" s="197" t="s">
        <v>1366</v>
      </c>
      <c r="G20" s="197" t="s">
        <v>1405</v>
      </c>
      <c r="H20" s="197">
        <v>11.0</v>
      </c>
      <c r="I20" s="73"/>
      <c r="J20" s="197">
        <v>4.0</v>
      </c>
      <c r="K20" s="197">
        <v>0.0</v>
      </c>
      <c r="L20" s="197" t="s">
        <v>1406</v>
      </c>
      <c r="M20" s="197" t="s">
        <v>1407</v>
      </c>
      <c r="N20" s="197">
        <v>0.0</v>
      </c>
      <c r="O20" s="197" t="s">
        <v>1408</v>
      </c>
      <c r="P20" s="197">
        <v>4.0</v>
      </c>
    </row>
    <row r="21">
      <c r="A21" s="361">
        <v>46205.74804319444</v>
      </c>
      <c r="B21" s="362">
        <v>46205.0</v>
      </c>
      <c r="C21" s="197" t="s">
        <v>19</v>
      </c>
      <c r="D21" s="197" t="s">
        <v>18</v>
      </c>
      <c r="E21" s="197" t="s">
        <v>1230</v>
      </c>
      <c r="F21" s="197" t="s">
        <v>18</v>
      </c>
      <c r="G21" s="197" t="s">
        <v>1237</v>
      </c>
      <c r="H21" s="197">
        <v>1.0</v>
      </c>
      <c r="I21" s="73"/>
      <c r="J21" s="197">
        <v>0.0</v>
      </c>
      <c r="K21" s="197">
        <v>0.0</v>
      </c>
      <c r="L21" s="73"/>
      <c r="M21" s="363" t="s">
        <v>1238</v>
      </c>
      <c r="N21" s="197">
        <v>0.0</v>
      </c>
      <c r="O21" s="197" t="s">
        <v>1239</v>
      </c>
      <c r="P21" s="197">
        <v>0.0</v>
      </c>
    </row>
    <row r="22">
      <c r="A22" s="361">
        <v>46205.75187853009</v>
      </c>
      <c r="B22" s="362">
        <v>46205.0</v>
      </c>
      <c r="C22" s="197" t="s">
        <v>19</v>
      </c>
      <c r="D22" s="197" t="s">
        <v>18</v>
      </c>
      <c r="E22" s="197" t="s">
        <v>113</v>
      </c>
      <c r="F22" s="197" t="s">
        <v>1901</v>
      </c>
      <c r="G22" s="197" t="s">
        <v>115</v>
      </c>
      <c r="H22" s="197">
        <v>10.0</v>
      </c>
      <c r="I22" s="73"/>
      <c r="J22" s="197">
        <v>1.0</v>
      </c>
      <c r="K22" s="197">
        <v>3.0</v>
      </c>
      <c r="L22" s="197" t="s">
        <v>116</v>
      </c>
      <c r="M22" s="363" t="s">
        <v>117</v>
      </c>
      <c r="N22" s="197" t="s">
        <v>118</v>
      </c>
      <c r="O22" s="197" t="s">
        <v>119</v>
      </c>
      <c r="P22" s="197">
        <v>8.0</v>
      </c>
    </row>
    <row r="23">
      <c r="A23" s="361">
        <v>46205.76241340278</v>
      </c>
      <c r="B23" s="362">
        <v>46205.0</v>
      </c>
      <c r="C23" s="197" t="s">
        <v>19</v>
      </c>
      <c r="D23" s="197" t="s">
        <v>18</v>
      </c>
      <c r="E23" s="197" t="s">
        <v>173</v>
      </c>
      <c r="F23" s="197" t="s">
        <v>18</v>
      </c>
      <c r="G23" s="197" t="s">
        <v>174</v>
      </c>
      <c r="H23" s="197">
        <v>20.0</v>
      </c>
      <c r="I23" s="73"/>
      <c r="J23" s="197">
        <v>0.0</v>
      </c>
      <c r="K23" s="197">
        <v>0.0</v>
      </c>
      <c r="L23" s="197" t="s">
        <v>175</v>
      </c>
      <c r="M23" s="197">
        <v>0.0</v>
      </c>
      <c r="N23" s="197">
        <v>0.0</v>
      </c>
      <c r="O23" s="197" t="s">
        <v>176</v>
      </c>
      <c r="P23" s="197">
        <v>7.0</v>
      </c>
    </row>
    <row r="24">
      <c r="A24" s="361">
        <v>46205.76654106482</v>
      </c>
      <c r="B24" s="362">
        <v>46205.0</v>
      </c>
      <c r="C24" s="197" t="s">
        <v>19</v>
      </c>
      <c r="D24" s="197" t="s">
        <v>18</v>
      </c>
      <c r="E24" s="197" t="s">
        <v>1533</v>
      </c>
      <c r="F24" s="197" t="s">
        <v>1538</v>
      </c>
      <c r="G24" s="197" t="s">
        <v>1542</v>
      </c>
      <c r="H24" s="197">
        <v>35.0</v>
      </c>
      <c r="I24" s="73"/>
      <c r="J24" s="197">
        <v>2.0</v>
      </c>
      <c r="K24" s="197">
        <v>0.0</v>
      </c>
      <c r="L24" s="197" t="s">
        <v>1543</v>
      </c>
      <c r="M24" s="197" t="s">
        <v>1544</v>
      </c>
      <c r="N24" s="197">
        <v>0.0</v>
      </c>
      <c r="O24" s="197" t="s">
        <v>1545</v>
      </c>
      <c r="P24" s="197">
        <v>15.0</v>
      </c>
    </row>
    <row r="25">
      <c r="A25" s="361">
        <v>46205.76986108796</v>
      </c>
      <c r="B25" s="362">
        <v>46205.0</v>
      </c>
      <c r="C25" s="197" t="s">
        <v>19</v>
      </c>
      <c r="D25" s="197" t="s">
        <v>18</v>
      </c>
      <c r="E25" s="197" t="s">
        <v>1897</v>
      </c>
      <c r="F25" s="197" t="s">
        <v>558</v>
      </c>
      <c r="G25" s="197" t="s">
        <v>564</v>
      </c>
      <c r="H25" s="197">
        <v>12.0</v>
      </c>
      <c r="I25" s="73"/>
      <c r="J25" s="197">
        <v>2.0</v>
      </c>
      <c r="K25" s="197">
        <v>2.0</v>
      </c>
      <c r="L25" s="197" t="s">
        <v>565</v>
      </c>
      <c r="M25" s="197" t="s">
        <v>566</v>
      </c>
      <c r="N25" s="197" t="s">
        <v>567</v>
      </c>
      <c r="O25" s="197" t="s">
        <v>568</v>
      </c>
      <c r="P25" s="197">
        <v>5.0</v>
      </c>
    </row>
    <row r="26">
      <c r="A26" s="361">
        <v>46205.79959196759</v>
      </c>
      <c r="B26" s="362">
        <v>46205.0</v>
      </c>
      <c r="C26" s="197" t="s">
        <v>19</v>
      </c>
      <c r="D26" s="197" t="s">
        <v>21</v>
      </c>
      <c r="E26" s="197" t="s">
        <v>346</v>
      </c>
      <c r="F26" s="197" t="s">
        <v>360</v>
      </c>
      <c r="G26" s="197" t="s">
        <v>361</v>
      </c>
      <c r="H26" s="197">
        <v>20.0</v>
      </c>
      <c r="I26" s="73"/>
      <c r="J26" s="197" t="s">
        <v>216</v>
      </c>
      <c r="K26" s="197">
        <v>2.0</v>
      </c>
      <c r="L26" s="197" t="s">
        <v>362</v>
      </c>
      <c r="M26" s="197" t="s">
        <v>216</v>
      </c>
      <c r="N26" s="364">
        <v>8.58676858680812E22</v>
      </c>
      <c r="O26" s="197" t="s">
        <v>363</v>
      </c>
      <c r="P26" s="197">
        <v>3.0</v>
      </c>
    </row>
    <row r="27">
      <c r="A27" s="361">
        <v>46205.80257097222</v>
      </c>
      <c r="B27" s="362">
        <v>46205.0</v>
      </c>
      <c r="C27" s="197" t="s">
        <v>19</v>
      </c>
      <c r="D27" s="197" t="s">
        <v>18</v>
      </c>
      <c r="E27" s="197" t="s">
        <v>1898</v>
      </c>
      <c r="F27" s="197" t="s">
        <v>943</v>
      </c>
      <c r="G27" s="197" t="s">
        <v>944</v>
      </c>
      <c r="H27" s="197">
        <v>30.0</v>
      </c>
      <c r="I27" s="73"/>
      <c r="J27" s="197">
        <v>3.0</v>
      </c>
      <c r="K27" s="197">
        <v>0.0</v>
      </c>
      <c r="L27" s="197" t="s">
        <v>945</v>
      </c>
      <c r="M27" s="197" t="s">
        <v>946</v>
      </c>
      <c r="N27" s="197">
        <v>0.0</v>
      </c>
      <c r="O27" s="197" t="s">
        <v>947</v>
      </c>
      <c r="P27" s="197">
        <v>20.0</v>
      </c>
    </row>
    <row r="28">
      <c r="A28" s="361">
        <v>46205.83986753473</v>
      </c>
      <c r="B28" s="362">
        <v>46205.0</v>
      </c>
      <c r="C28" s="197" t="s">
        <v>19</v>
      </c>
      <c r="D28" s="197" t="s">
        <v>18</v>
      </c>
      <c r="E28" s="197" t="s">
        <v>880</v>
      </c>
      <c r="F28" s="197" t="s">
        <v>881</v>
      </c>
      <c r="G28" s="197" t="s">
        <v>882</v>
      </c>
      <c r="H28" s="197">
        <v>20.0</v>
      </c>
      <c r="I28" s="73"/>
      <c r="J28" s="197">
        <v>1.0</v>
      </c>
      <c r="K28" s="197">
        <v>3.0</v>
      </c>
      <c r="L28" s="197" t="s">
        <v>883</v>
      </c>
      <c r="M28" s="363" t="s">
        <v>884</v>
      </c>
      <c r="N28" s="364">
        <v>8.15683475660895E34</v>
      </c>
      <c r="O28" s="197" t="s">
        <v>885</v>
      </c>
      <c r="P28" s="197">
        <v>12.0</v>
      </c>
    </row>
    <row r="29">
      <c r="A29" s="361">
        <v>46205.8459705787</v>
      </c>
      <c r="B29" s="362">
        <v>46205.0</v>
      </c>
      <c r="C29" s="197" t="s">
        <v>19</v>
      </c>
      <c r="D29" s="197" t="s">
        <v>18</v>
      </c>
      <c r="E29" s="197" t="s">
        <v>1902</v>
      </c>
      <c r="F29" s="197" t="s">
        <v>789</v>
      </c>
      <c r="G29" s="197" t="s">
        <v>790</v>
      </c>
      <c r="H29" s="197">
        <v>22.0</v>
      </c>
      <c r="I29" s="73"/>
      <c r="J29" s="197">
        <v>1.0</v>
      </c>
      <c r="K29" s="197">
        <v>4.0</v>
      </c>
      <c r="L29" s="197" t="s">
        <v>791</v>
      </c>
      <c r="M29" s="363" t="s">
        <v>792</v>
      </c>
      <c r="N29" s="197" t="s">
        <v>793</v>
      </c>
      <c r="O29" s="197" t="s">
        <v>794</v>
      </c>
      <c r="P29" s="197">
        <v>17.0</v>
      </c>
    </row>
    <row r="30">
      <c r="A30" s="361">
        <v>46205.860641203704</v>
      </c>
      <c r="B30" s="362">
        <v>46205.0</v>
      </c>
      <c r="C30" s="197" t="s">
        <v>19</v>
      </c>
      <c r="D30" s="197" t="s">
        <v>21</v>
      </c>
      <c r="E30" s="197" t="s">
        <v>1798</v>
      </c>
      <c r="F30" s="197" t="s">
        <v>1896</v>
      </c>
      <c r="G30" s="197" t="s">
        <v>541</v>
      </c>
      <c r="H30" s="197">
        <v>20.0</v>
      </c>
      <c r="I30" s="73"/>
      <c r="J30" s="197">
        <v>0.0</v>
      </c>
      <c r="K30" s="197">
        <v>0.0</v>
      </c>
      <c r="L30" s="73"/>
      <c r="M30" s="197">
        <v>0.0</v>
      </c>
      <c r="N30" s="197">
        <v>0.0</v>
      </c>
      <c r="O30" s="197" t="s">
        <v>542</v>
      </c>
      <c r="P30" s="197">
        <v>0.0</v>
      </c>
    </row>
    <row r="31">
      <c r="A31" s="361">
        <v>46205.9005512963</v>
      </c>
      <c r="B31" s="362">
        <v>46205.0</v>
      </c>
      <c r="C31" s="197" t="s">
        <v>19</v>
      </c>
      <c r="D31" s="197" t="s">
        <v>18</v>
      </c>
      <c r="E31" s="197" t="s">
        <v>1562</v>
      </c>
      <c r="F31" s="197" t="s">
        <v>1563</v>
      </c>
      <c r="G31" s="197" t="s">
        <v>1564</v>
      </c>
      <c r="H31" s="197">
        <v>20.0</v>
      </c>
      <c r="I31" s="73"/>
      <c r="J31" s="197">
        <v>0.0</v>
      </c>
      <c r="K31" s="197">
        <v>0.0</v>
      </c>
      <c r="L31" s="73"/>
      <c r="M31" s="197">
        <v>0.0</v>
      </c>
      <c r="N31" s="197" t="s">
        <v>1565</v>
      </c>
      <c r="O31" s="197" t="s">
        <v>1566</v>
      </c>
      <c r="P31" s="197">
        <v>8.0</v>
      </c>
    </row>
    <row r="32">
      <c r="A32" s="361">
        <v>46205.904015127315</v>
      </c>
      <c r="B32" s="362">
        <v>46205.0</v>
      </c>
      <c r="C32" s="197" t="s">
        <v>19</v>
      </c>
      <c r="D32" s="197" t="s">
        <v>15</v>
      </c>
      <c r="E32" s="197" t="s">
        <v>1789</v>
      </c>
      <c r="F32" s="197" t="s">
        <v>1078</v>
      </c>
      <c r="G32" s="197" t="s">
        <v>1122</v>
      </c>
      <c r="H32" s="197">
        <v>11.0</v>
      </c>
      <c r="I32" s="73"/>
      <c r="J32" s="197">
        <v>1.0</v>
      </c>
      <c r="K32" s="197" t="s">
        <v>216</v>
      </c>
      <c r="L32" s="197" t="s">
        <v>1123</v>
      </c>
      <c r="M32" s="363" t="s">
        <v>1124</v>
      </c>
      <c r="N32" s="197" t="s">
        <v>216</v>
      </c>
      <c r="O32" s="197" t="s">
        <v>1125</v>
      </c>
      <c r="P32" s="197">
        <v>2.0</v>
      </c>
    </row>
    <row r="33">
      <c r="A33" s="361">
        <v>46205.94731752315</v>
      </c>
      <c r="B33" s="362">
        <v>46205.0</v>
      </c>
      <c r="C33" s="197" t="s">
        <v>19</v>
      </c>
      <c r="D33" s="197" t="s">
        <v>21</v>
      </c>
      <c r="E33" s="197" t="s">
        <v>1273</v>
      </c>
      <c r="F33" s="197" t="s">
        <v>1278</v>
      </c>
      <c r="G33" s="197" t="s">
        <v>1286</v>
      </c>
      <c r="H33" s="197">
        <v>0.0</v>
      </c>
      <c r="I33" s="73"/>
      <c r="J33" s="197">
        <v>20.0</v>
      </c>
      <c r="K33" s="197">
        <v>0.0</v>
      </c>
      <c r="L33" s="73"/>
      <c r="M33" s="197" t="s">
        <v>1287</v>
      </c>
      <c r="N33" s="197">
        <v>0.0</v>
      </c>
      <c r="O33" s="197" t="s">
        <v>1288</v>
      </c>
      <c r="P33" s="197">
        <v>0.0</v>
      </c>
    </row>
    <row r="34">
      <c r="A34" s="361">
        <v>46205.95425546296</v>
      </c>
      <c r="B34" s="362">
        <v>46205.0</v>
      </c>
      <c r="C34" s="197" t="s">
        <v>19</v>
      </c>
      <c r="D34" s="197" t="s">
        <v>15</v>
      </c>
      <c r="E34" s="197" t="s">
        <v>376</v>
      </c>
      <c r="F34" s="197" t="s">
        <v>377</v>
      </c>
      <c r="G34" s="197" t="s">
        <v>390</v>
      </c>
      <c r="H34" s="197">
        <v>21.0</v>
      </c>
      <c r="I34" s="73"/>
      <c r="J34" s="197">
        <v>2.0</v>
      </c>
      <c r="K34" s="197">
        <v>2.0</v>
      </c>
      <c r="L34" s="197" t="s">
        <v>391</v>
      </c>
      <c r="M34" s="363" t="s">
        <v>392</v>
      </c>
      <c r="N34" s="197" t="s">
        <v>393</v>
      </c>
      <c r="O34" s="197" t="s">
        <v>394</v>
      </c>
      <c r="P34" s="197">
        <v>17.0</v>
      </c>
    </row>
    <row r="35">
      <c r="A35" s="361">
        <v>46206.01710776621</v>
      </c>
      <c r="B35" s="362">
        <v>46205.0</v>
      </c>
      <c r="C35" s="197" t="s">
        <v>19</v>
      </c>
      <c r="D35" s="197" t="s">
        <v>10</v>
      </c>
      <c r="E35" s="197" t="s">
        <v>727</v>
      </c>
      <c r="F35" s="197" t="s">
        <v>755</v>
      </c>
      <c r="G35" s="197" t="s">
        <v>756</v>
      </c>
      <c r="H35" s="197">
        <v>16.0</v>
      </c>
      <c r="I35" s="73"/>
      <c r="J35" s="197">
        <v>2.0</v>
      </c>
      <c r="K35" s="197">
        <v>0.0</v>
      </c>
      <c r="L35" s="197" t="s">
        <v>757</v>
      </c>
      <c r="M35" s="197" t="s">
        <v>758</v>
      </c>
      <c r="N35" s="197">
        <v>0.0</v>
      </c>
      <c r="O35" s="197" t="s">
        <v>759</v>
      </c>
      <c r="P35" s="197">
        <v>2.0</v>
      </c>
    </row>
    <row r="36">
      <c r="A36" s="361">
        <v>46206.09617862268</v>
      </c>
      <c r="B36" s="362">
        <v>46205.0</v>
      </c>
      <c r="C36" s="197" t="s">
        <v>19</v>
      </c>
      <c r="D36" s="197" t="s">
        <v>18</v>
      </c>
      <c r="E36" s="197" t="s">
        <v>641</v>
      </c>
      <c r="F36" s="197" t="s">
        <v>642</v>
      </c>
      <c r="G36" s="197" t="s">
        <v>677</v>
      </c>
      <c r="H36" s="197">
        <v>19.0</v>
      </c>
      <c r="I36" s="73"/>
      <c r="J36" s="197">
        <v>2.0</v>
      </c>
      <c r="K36" s="197">
        <v>0.0</v>
      </c>
      <c r="L36" s="197" t="s">
        <v>678</v>
      </c>
      <c r="M36" s="364">
        <v>8.58420155090858E22</v>
      </c>
      <c r="N36" s="197" t="s">
        <v>216</v>
      </c>
      <c r="O36" s="197" t="s">
        <v>679</v>
      </c>
      <c r="P36" s="197">
        <v>14.0</v>
      </c>
    </row>
    <row r="37">
      <c r="A37" s="361">
        <v>46206.27914125</v>
      </c>
      <c r="B37" s="362">
        <v>46205.0</v>
      </c>
      <c r="C37" s="197" t="s">
        <v>19</v>
      </c>
      <c r="D37" s="197" t="s">
        <v>10</v>
      </c>
      <c r="E37" s="197" t="s">
        <v>1027</v>
      </c>
      <c r="F37" s="197" t="s">
        <v>1903</v>
      </c>
      <c r="G37" s="197" t="s">
        <v>1033</v>
      </c>
      <c r="H37" s="197">
        <v>20.0</v>
      </c>
      <c r="I37" s="73"/>
      <c r="J37" s="197">
        <v>3.0</v>
      </c>
      <c r="K37" s="197">
        <v>2.0</v>
      </c>
      <c r="L37" s="197" t="s">
        <v>1034</v>
      </c>
      <c r="M37" s="363" t="s">
        <v>1035</v>
      </c>
      <c r="N37" s="363" t="s">
        <v>1036</v>
      </c>
      <c r="O37" s="197" t="s">
        <v>1037</v>
      </c>
      <c r="P37" s="197">
        <v>3.0</v>
      </c>
    </row>
    <row r="38">
      <c r="A38" s="361">
        <v>46206.745489305555</v>
      </c>
      <c r="B38" s="362">
        <v>46206.0</v>
      </c>
      <c r="C38" s="197" t="s">
        <v>19</v>
      </c>
      <c r="D38" s="197" t="s">
        <v>18</v>
      </c>
      <c r="E38" s="197" t="s">
        <v>1230</v>
      </c>
      <c r="F38" s="197" t="s">
        <v>1231</v>
      </c>
      <c r="G38" s="197" t="s">
        <v>1240</v>
      </c>
      <c r="H38" s="197">
        <v>3.0</v>
      </c>
      <c r="I38" s="73"/>
      <c r="J38" s="197">
        <v>0.0</v>
      </c>
      <c r="K38" s="197">
        <v>0.0</v>
      </c>
      <c r="L38" s="73"/>
      <c r="M38" s="197">
        <v>0.0</v>
      </c>
      <c r="N38" s="197">
        <v>0.0</v>
      </c>
      <c r="O38" s="197" t="s">
        <v>1241</v>
      </c>
      <c r="P38" s="197">
        <v>3.0</v>
      </c>
    </row>
    <row r="39">
      <c r="A39" s="361">
        <v>46206.77389545139</v>
      </c>
      <c r="B39" s="362">
        <v>46206.0</v>
      </c>
      <c r="C39" s="197" t="s">
        <v>19</v>
      </c>
      <c r="D39" s="197" t="s">
        <v>18</v>
      </c>
      <c r="E39" s="197" t="s">
        <v>1898</v>
      </c>
      <c r="F39" s="197" t="s">
        <v>948</v>
      </c>
      <c r="G39" s="197" t="s">
        <v>949</v>
      </c>
      <c r="H39" s="197">
        <v>50.0</v>
      </c>
      <c r="I39" s="73"/>
      <c r="J39" s="197">
        <v>14.0</v>
      </c>
      <c r="K39" s="197">
        <v>2.0</v>
      </c>
      <c r="L39" s="197" t="s">
        <v>950</v>
      </c>
      <c r="M39" s="197" t="s">
        <v>951</v>
      </c>
      <c r="N39" s="197" t="s">
        <v>952</v>
      </c>
      <c r="O39" s="197" t="s">
        <v>953</v>
      </c>
      <c r="P39" s="197">
        <v>30.0</v>
      </c>
    </row>
    <row r="40">
      <c r="A40" s="361">
        <v>46206.80346681713</v>
      </c>
      <c r="B40" s="362">
        <v>46206.0</v>
      </c>
      <c r="C40" s="197" t="s">
        <v>19</v>
      </c>
      <c r="D40" s="197" t="s">
        <v>18</v>
      </c>
      <c r="E40" s="197" t="s">
        <v>1533</v>
      </c>
      <c r="F40" s="197" t="s">
        <v>1538</v>
      </c>
      <c r="G40" s="197" t="s">
        <v>1546</v>
      </c>
      <c r="H40" s="197">
        <v>50.0</v>
      </c>
      <c r="I40" s="73"/>
      <c r="J40" s="197">
        <v>16.0</v>
      </c>
      <c r="K40" s="197">
        <v>0.0</v>
      </c>
      <c r="L40" s="197" t="s">
        <v>1547</v>
      </c>
      <c r="M40" s="197" t="s">
        <v>1548</v>
      </c>
      <c r="N40" s="197">
        <v>0.0</v>
      </c>
      <c r="O40" s="197" t="s">
        <v>1549</v>
      </c>
      <c r="P40" s="197">
        <v>30.0</v>
      </c>
    </row>
    <row r="41">
      <c r="A41" s="361">
        <v>46206.81397762732</v>
      </c>
      <c r="B41" s="362">
        <v>46206.0</v>
      </c>
      <c r="C41" s="197" t="s">
        <v>19</v>
      </c>
      <c r="D41" s="197" t="s">
        <v>21</v>
      </c>
      <c r="E41" s="197" t="s">
        <v>1798</v>
      </c>
      <c r="F41" s="197" t="s">
        <v>1896</v>
      </c>
      <c r="G41" s="197" t="s">
        <v>543</v>
      </c>
      <c r="H41" s="197">
        <v>20.0</v>
      </c>
      <c r="I41" s="73"/>
      <c r="J41" s="197">
        <v>0.0</v>
      </c>
      <c r="K41" s="197">
        <v>0.0</v>
      </c>
      <c r="L41" s="73"/>
      <c r="M41" s="197">
        <v>0.0</v>
      </c>
      <c r="N41" s="197">
        <v>0.0</v>
      </c>
      <c r="O41" s="197" t="s">
        <v>544</v>
      </c>
      <c r="P41" s="197">
        <v>0.0</v>
      </c>
    </row>
    <row r="42">
      <c r="A42" s="361">
        <v>46206.81484452546</v>
      </c>
      <c r="B42" s="362">
        <v>46206.0</v>
      </c>
      <c r="C42" s="197" t="s">
        <v>19</v>
      </c>
      <c r="D42" s="197" t="s">
        <v>18</v>
      </c>
      <c r="E42" s="197" t="s">
        <v>113</v>
      </c>
      <c r="F42" s="197" t="s">
        <v>120</v>
      </c>
      <c r="G42" s="197" t="s">
        <v>121</v>
      </c>
      <c r="H42" s="197" t="s">
        <v>122</v>
      </c>
      <c r="I42" s="73"/>
      <c r="J42" s="197" t="s">
        <v>123</v>
      </c>
      <c r="K42" s="197" t="s">
        <v>124</v>
      </c>
      <c r="L42" s="197" t="s">
        <v>125</v>
      </c>
      <c r="M42" s="197" t="s">
        <v>126</v>
      </c>
      <c r="N42" s="197" t="s">
        <v>124</v>
      </c>
      <c r="O42" s="197" t="s">
        <v>127</v>
      </c>
      <c r="P42" s="197" t="s">
        <v>123</v>
      </c>
    </row>
    <row r="43">
      <c r="A43" s="361">
        <v>46206.87466952547</v>
      </c>
      <c r="B43" s="362">
        <v>46206.0</v>
      </c>
      <c r="C43" s="197" t="s">
        <v>19</v>
      </c>
      <c r="D43" s="197" t="s">
        <v>18</v>
      </c>
      <c r="E43" s="197" t="s">
        <v>173</v>
      </c>
      <c r="F43" s="197" t="s">
        <v>177</v>
      </c>
      <c r="G43" s="197" t="s">
        <v>178</v>
      </c>
      <c r="H43" s="197">
        <v>21.0</v>
      </c>
      <c r="I43" s="73"/>
      <c r="J43" s="197">
        <v>1.0</v>
      </c>
      <c r="K43" s="197">
        <v>0.0</v>
      </c>
      <c r="L43" s="197" t="s">
        <v>179</v>
      </c>
      <c r="M43" s="363" t="s">
        <v>180</v>
      </c>
      <c r="N43" s="197">
        <v>0.0</v>
      </c>
      <c r="O43" s="197" t="s">
        <v>181</v>
      </c>
      <c r="P43" s="197">
        <v>14.0</v>
      </c>
    </row>
    <row r="44">
      <c r="A44" s="361">
        <v>46206.891613784726</v>
      </c>
      <c r="B44" s="362">
        <v>46206.0</v>
      </c>
      <c r="C44" s="197" t="s">
        <v>19</v>
      </c>
      <c r="D44" s="197" t="s">
        <v>18</v>
      </c>
      <c r="E44" s="197" t="s">
        <v>782</v>
      </c>
      <c r="F44" s="197" t="s">
        <v>789</v>
      </c>
      <c r="G44" s="197" t="s">
        <v>795</v>
      </c>
      <c r="H44" s="197">
        <v>42.0</v>
      </c>
      <c r="I44" s="73"/>
      <c r="J44" s="197">
        <v>0.0</v>
      </c>
      <c r="K44" s="197">
        <v>21.0</v>
      </c>
      <c r="L44" s="197" t="s">
        <v>796</v>
      </c>
      <c r="M44" s="197">
        <v>0.0</v>
      </c>
      <c r="N44" s="197" t="s">
        <v>797</v>
      </c>
      <c r="O44" s="197" t="s">
        <v>798</v>
      </c>
      <c r="P44" s="197">
        <v>21.0</v>
      </c>
    </row>
    <row r="45">
      <c r="A45" s="361">
        <v>46206.90499190972</v>
      </c>
      <c r="B45" s="362">
        <v>46206.0</v>
      </c>
      <c r="C45" s="197" t="s">
        <v>19</v>
      </c>
      <c r="D45" s="197" t="s">
        <v>10</v>
      </c>
      <c r="E45" s="197" t="s">
        <v>1253</v>
      </c>
      <c r="F45" s="197" t="s">
        <v>1267</v>
      </c>
      <c r="G45" s="197" t="s">
        <v>1268</v>
      </c>
      <c r="H45" s="197">
        <v>20.0</v>
      </c>
      <c r="I45" s="73"/>
      <c r="J45" s="197">
        <v>0.0</v>
      </c>
      <c r="K45" s="197">
        <v>0.0</v>
      </c>
      <c r="L45" s="73"/>
      <c r="M45" s="197">
        <v>0.0</v>
      </c>
      <c r="N45" s="197">
        <v>0.0</v>
      </c>
      <c r="O45" s="197" t="s">
        <v>1269</v>
      </c>
      <c r="P45" s="197">
        <v>0.0</v>
      </c>
    </row>
    <row r="46">
      <c r="A46" s="361">
        <v>46206.93247704861</v>
      </c>
      <c r="B46" s="362">
        <v>46206.0</v>
      </c>
      <c r="C46" s="197" t="s">
        <v>19</v>
      </c>
      <c r="D46" s="197" t="s">
        <v>18</v>
      </c>
      <c r="E46" s="197" t="s">
        <v>1562</v>
      </c>
      <c r="F46" s="197" t="s">
        <v>1563</v>
      </c>
      <c r="G46" s="197" t="s">
        <v>1567</v>
      </c>
      <c r="H46" s="197">
        <v>30.0</v>
      </c>
      <c r="I46" s="73"/>
      <c r="J46" s="197">
        <v>1.0</v>
      </c>
      <c r="K46" s="197">
        <v>1.0</v>
      </c>
      <c r="L46" s="73"/>
      <c r="M46" s="197" t="s">
        <v>1568</v>
      </c>
      <c r="N46" s="363" t="s">
        <v>1569</v>
      </c>
      <c r="O46" s="197" t="s">
        <v>1570</v>
      </c>
      <c r="P46" s="197">
        <v>7.0</v>
      </c>
    </row>
    <row r="47">
      <c r="A47" s="361">
        <v>46206.94801900463</v>
      </c>
      <c r="B47" s="362">
        <v>46205.0</v>
      </c>
      <c r="C47" s="197" t="s">
        <v>19</v>
      </c>
      <c r="D47" s="197" t="s">
        <v>10</v>
      </c>
      <c r="E47" s="197" t="s">
        <v>835</v>
      </c>
      <c r="F47" s="197" t="s">
        <v>826</v>
      </c>
      <c r="G47" s="197" t="s">
        <v>858</v>
      </c>
      <c r="H47" s="197">
        <v>17.0</v>
      </c>
      <c r="I47" s="73"/>
      <c r="J47" s="197">
        <v>4.0</v>
      </c>
      <c r="K47" s="197">
        <v>0.0</v>
      </c>
      <c r="L47" s="197" t="s">
        <v>859</v>
      </c>
      <c r="M47" s="197" t="s">
        <v>860</v>
      </c>
      <c r="N47" s="197">
        <v>0.0</v>
      </c>
      <c r="O47" s="197" t="s">
        <v>861</v>
      </c>
      <c r="P47" s="197">
        <v>4.0</v>
      </c>
    </row>
    <row r="48">
      <c r="A48" s="361">
        <v>46206.95244378472</v>
      </c>
      <c r="B48" s="362">
        <v>46206.0</v>
      </c>
      <c r="C48" s="197" t="s">
        <v>19</v>
      </c>
      <c r="D48" s="197" t="s">
        <v>10</v>
      </c>
      <c r="E48" s="197" t="s">
        <v>835</v>
      </c>
      <c r="F48" s="197" t="s">
        <v>862</v>
      </c>
      <c r="G48" s="197" t="s">
        <v>863</v>
      </c>
      <c r="H48" s="197">
        <v>19.0</v>
      </c>
      <c r="I48" s="73"/>
      <c r="J48" s="197">
        <v>4.0</v>
      </c>
      <c r="K48" s="197">
        <v>0.0</v>
      </c>
      <c r="L48" s="197" t="s">
        <v>864</v>
      </c>
      <c r="M48" s="197" t="s">
        <v>865</v>
      </c>
      <c r="N48" s="197">
        <v>0.0</v>
      </c>
      <c r="O48" s="197" t="s">
        <v>866</v>
      </c>
      <c r="P48" s="197">
        <v>4.0</v>
      </c>
    </row>
    <row r="49">
      <c r="A49" s="361">
        <v>46206.95477278935</v>
      </c>
      <c r="B49" s="362">
        <v>46206.0</v>
      </c>
      <c r="C49" s="197" t="s">
        <v>19</v>
      </c>
      <c r="D49" s="197" t="s">
        <v>15</v>
      </c>
      <c r="E49" s="197" t="s">
        <v>376</v>
      </c>
      <c r="F49" s="197" t="s">
        <v>377</v>
      </c>
      <c r="G49" s="197" t="s">
        <v>395</v>
      </c>
      <c r="H49" s="197">
        <v>14.0</v>
      </c>
      <c r="I49" s="73"/>
      <c r="J49" s="197">
        <v>3.0</v>
      </c>
      <c r="K49" s="197">
        <v>10.0</v>
      </c>
      <c r="L49" s="197" t="s">
        <v>396</v>
      </c>
      <c r="M49" s="363" t="s">
        <v>397</v>
      </c>
      <c r="N49" s="197" t="s">
        <v>216</v>
      </c>
      <c r="O49" s="197" t="s">
        <v>398</v>
      </c>
      <c r="P49" s="197">
        <v>15.0</v>
      </c>
    </row>
    <row r="50">
      <c r="A50" s="361">
        <v>46206.970081817126</v>
      </c>
      <c r="B50" s="362">
        <v>46206.0</v>
      </c>
      <c r="C50" s="197" t="s">
        <v>19</v>
      </c>
      <c r="D50" s="197" t="s">
        <v>15</v>
      </c>
      <c r="E50" s="197" t="s">
        <v>1789</v>
      </c>
      <c r="F50" s="197" t="s">
        <v>1078</v>
      </c>
      <c r="G50" s="197" t="s">
        <v>1126</v>
      </c>
      <c r="H50" s="197">
        <v>15.0</v>
      </c>
      <c r="I50" s="73"/>
      <c r="J50" s="197">
        <v>4.0</v>
      </c>
      <c r="K50" s="197">
        <v>6.0</v>
      </c>
      <c r="L50" s="197" t="s">
        <v>1127</v>
      </c>
      <c r="M50" s="197" t="s">
        <v>1128</v>
      </c>
      <c r="N50" s="197" t="s">
        <v>1129</v>
      </c>
      <c r="O50" s="197" t="s">
        <v>1130</v>
      </c>
      <c r="P50" s="197">
        <v>3.0</v>
      </c>
    </row>
    <row r="51">
      <c r="A51" s="361">
        <v>46206.991328703705</v>
      </c>
      <c r="B51" s="362">
        <v>46206.0</v>
      </c>
      <c r="C51" s="197" t="s">
        <v>19</v>
      </c>
      <c r="D51" s="197" t="s">
        <v>10</v>
      </c>
      <c r="E51" s="197" t="s">
        <v>727</v>
      </c>
      <c r="F51" s="197" t="s">
        <v>760</v>
      </c>
      <c r="G51" s="197" t="s">
        <v>761</v>
      </c>
      <c r="H51" s="197">
        <v>8.0</v>
      </c>
      <c r="I51" s="73"/>
      <c r="J51" s="197">
        <v>0.0</v>
      </c>
      <c r="K51" s="197">
        <v>0.0</v>
      </c>
      <c r="L51" s="197" t="s">
        <v>762</v>
      </c>
      <c r="M51" s="197">
        <v>0.0</v>
      </c>
      <c r="N51" s="197">
        <v>0.0</v>
      </c>
      <c r="O51" s="197" t="s">
        <v>763</v>
      </c>
      <c r="P51" s="197">
        <v>0.0</v>
      </c>
    </row>
    <row r="52">
      <c r="A52" s="361">
        <v>46206.99947791667</v>
      </c>
      <c r="B52" s="362">
        <v>46206.0</v>
      </c>
      <c r="C52" s="197" t="s">
        <v>19</v>
      </c>
      <c r="D52" s="197" t="s">
        <v>18</v>
      </c>
      <c r="E52" s="197" t="s">
        <v>1900</v>
      </c>
      <c r="F52" s="197" t="s">
        <v>881</v>
      </c>
      <c r="G52" s="197" t="s">
        <v>896</v>
      </c>
      <c r="H52" s="197">
        <v>20.0</v>
      </c>
      <c r="I52" s="73"/>
      <c r="J52" s="197">
        <v>20.0</v>
      </c>
      <c r="K52" s="197">
        <v>0.0</v>
      </c>
      <c r="L52" s="197" t="s">
        <v>897</v>
      </c>
      <c r="M52" s="364">
        <v>8.58420154950857E238</v>
      </c>
      <c r="N52" s="197">
        <v>0.0</v>
      </c>
      <c r="O52" s="197" t="s">
        <v>898</v>
      </c>
      <c r="P52" s="197">
        <v>20.0</v>
      </c>
    </row>
    <row r="53">
      <c r="A53" s="361">
        <v>46207.270124918985</v>
      </c>
      <c r="B53" s="362">
        <v>46206.0</v>
      </c>
      <c r="C53" s="197" t="s">
        <v>19</v>
      </c>
      <c r="D53" s="197" t="s">
        <v>18</v>
      </c>
      <c r="E53" s="197" t="s">
        <v>641</v>
      </c>
      <c r="F53" s="197" t="s">
        <v>642</v>
      </c>
      <c r="G53" s="197" t="s">
        <v>680</v>
      </c>
      <c r="H53" s="197">
        <v>30.0</v>
      </c>
      <c r="I53" s="73"/>
      <c r="J53" s="197">
        <v>13.0</v>
      </c>
      <c r="K53" s="197">
        <v>0.0</v>
      </c>
      <c r="L53" s="197" t="s">
        <v>681</v>
      </c>
      <c r="M53" s="364">
        <v>8.58420158730858E154</v>
      </c>
      <c r="N53" s="197" t="s">
        <v>216</v>
      </c>
      <c r="O53" s="197" t="s">
        <v>682</v>
      </c>
      <c r="P53" s="197">
        <v>27.0</v>
      </c>
    </row>
    <row r="54">
      <c r="A54" s="361">
        <v>46207.73015886574</v>
      </c>
      <c r="B54" s="362">
        <v>46205.0</v>
      </c>
      <c r="C54" s="197" t="s">
        <v>19</v>
      </c>
      <c r="D54" s="197" t="s">
        <v>10</v>
      </c>
      <c r="E54" s="197" t="s">
        <v>1365</v>
      </c>
      <c r="F54" s="197" t="s">
        <v>1369</v>
      </c>
      <c r="G54" s="197" t="s">
        <v>1409</v>
      </c>
      <c r="H54" s="197">
        <v>11.0</v>
      </c>
      <c r="I54" s="73"/>
      <c r="J54" s="197">
        <v>3.0</v>
      </c>
      <c r="K54" s="197">
        <v>0.0</v>
      </c>
      <c r="L54" s="197" t="s">
        <v>1410</v>
      </c>
      <c r="M54" s="197" t="s">
        <v>1411</v>
      </c>
      <c r="N54" s="197">
        <v>0.0</v>
      </c>
      <c r="O54" s="197" t="s">
        <v>1412</v>
      </c>
      <c r="P54" s="197">
        <v>3.0</v>
      </c>
    </row>
    <row r="56">
      <c r="F56" s="5" t="s">
        <v>5</v>
      </c>
      <c r="G56" s="5" t="s">
        <v>6</v>
      </c>
      <c r="H56" s="5" t="s">
        <v>7</v>
      </c>
    </row>
    <row r="57"/>
    <row r="58"/>
    <row r="59"/>
    <row r="60"/>
    <row r="61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</sheetData>
  <autoFilter ref="$A$1:$P$54"/>
  <drawing r:id="rId3"/>
</worksheet>
</file>